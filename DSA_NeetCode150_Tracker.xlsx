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ilak chowdary\Downloads\"/>
    </mc:Choice>
  </mc:AlternateContent>
  <xr:revisionPtr revIDLastSave="0" documentId="13_ncr:1_{9EAE9F46-0692-4DD9-9076-16B3B05CFA7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Daily Plan" sheetId="2" r:id="rId2"/>
    <sheet name="Problems" sheetId="3" r:id="rId3"/>
    <sheet name="Weekly Summary" sheetId="4" r:id="rId4"/>
  </sheets>
  <definedNames>
    <definedName name="_xlnm._FilterDatabase" localSheetId="2" hidden="1">Problems!$A$1:$K$151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1" i="3" l="1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E29" i="1"/>
  <c r="C29" i="1"/>
  <c r="B29" i="1"/>
  <c r="D29" i="1" s="1"/>
  <c r="E28" i="1"/>
  <c r="C28" i="1"/>
  <c r="B28" i="1"/>
  <c r="D28" i="1" s="1"/>
  <c r="E27" i="1"/>
  <c r="C27" i="1"/>
  <c r="B27" i="1"/>
  <c r="D27" i="1" s="1"/>
  <c r="E26" i="1"/>
  <c r="C26" i="1"/>
  <c r="B26" i="1"/>
  <c r="D26" i="1" s="1"/>
  <c r="E25" i="1"/>
  <c r="C25" i="1"/>
  <c r="B25" i="1"/>
  <c r="D25" i="1" s="1"/>
  <c r="E24" i="1"/>
  <c r="C24" i="1"/>
  <c r="B24" i="1"/>
  <c r="D24" i="1" s="1"/>
  <c r="E23" i="1"/>
  <c r="C23" i="1"/>
  <c r="B23" i="1"/>
  <c r="D23" i="1" s="1"/>
  <c r="E22" i="1"/>
  <c r="C22" i="1"/>
  <c r="B22" i="1"/>
  <c r="D22" i="1" s="1"/>
  <c r="E21" i="1"/>
  <c r="C21" i="1"/>
  <c r="B21" i="1"/>
  <c r="D21" i="1" s="1"/>
  <c r="E20" i="1"/>
  <c r="C20" i="1"/>
  <c r="B20" i="1"/>
  <c r="D20" i="1" s="1"/>
  <c r="E19" i="1"/>
  <c r="D19" i="1"/>
  <c r="C19" i="1"/>
  <c r="B19" i="1"/>
  <c r="E18" i="1"/>
  <c r="C18" i="1"/>
  <c r="B18" i="1"/>
  <c r="D18" i="1" s="1"/>
  <c r="E17" i="1"/>
  <c r="C17" i="1"/>
  <c r="B17" i="1"/>
  <c r="D17" i="1" s="1"/>
  <c r="E16" i="1"/>
  <c r="C16" i="1"/>
  <c r="B16" i="1"/>
  <c r="D16" i="1" s="1"/>
  <c r="E15" i="1"/>
  <c r="C15" i="1"/>
  <c r="B15" i="1"/>
  <c r="D15" i="1" s="1"/>
  <c r="E14" i="1"/>
  <c r="C14" i="1"/>
  <c r="B14" i="1"/>
  <c r="D14" i="1" s="1"/>
  <c r="E13" i="1"/>
  <c r="C13" i="1"/>
  <c r="B13" i="1"/>
  <c r="D13" i="1" s="1"/>
  <c r="E12" i="1"/>
  <c r="C12" i="1"/>
  <c r="B12" i="1"/>
  <c r="D12" i="1" s="1"/>
  <c r="B8" i="1"/>
  <c r="B7" i="1"/>
  <c r="B6" i="1"/>
  <c r="B4" i="1"/>
  <c r="B3" i="1"/>
  <c r="B5" i="1" s="1"/>
</calcChain>
</file>

<file path=xl/sharedStrings.xml><?xml version="1.0" encoding="utf-8"?>
<sst xmlns="http://schemas.openxmlformats.org/spreadsheetml/2006/main" count="977" uniqueCount="294">
  <si>
    <t>DSA NeetCode 150 Tracker</t>
  </si>
  <si>
    <t>Total problems planned</t>
  </si>
  <si>
    <t>Completed problems</t>
  </si>
  <si>
    <t>% complete</t>
  </si>
  <si>
    <t>Need REVISE (weak)</t>
  </si>
  <si>
    <t>Days completed</t>
  </si>
  <si>
    <t>Days not done yet</t>
  </si>
  <si>
    <t>Topic</t>
  </si>
  <si>
    <t>Planned</t>
  </si>
  <si>
    <t>Solved</t>
  </si>
  <si>
    <t>% Done</t>
  </si>
  <si>
    <t>Weak (REVISE)</t>
  </si>
  <si>
    <t>Arrays &amp; Hashing</t>
  </si>
  <si>
    <t>Two Pointers</t>
  </si>
  <si>
    <t>Stack</t>
  </si>
  <si>
    <t>Binary Search</t>
  </si>
  <si>
    <t>Sliding Window</t>
  </si>
  <si>
    <t>Linked List</t>
  </si>
  <si>
    <t>Trees</t>
  </si>
  <si>
    <t>Tries</t>
  </si>
  <si>
    <t>Heap / Priority Queue</t>
  </si>
  <si>
    <t>Backtracking</t>
  </si>
  <si>
    <t>Graphs</t>
  </si>
  <si>
    <t>Advanced Graphs</t>
  </si>
  <si>
    <t>1-D Dynamic Programming</t>
  </si>
  <si>
    <t>2-D Dynamic Programming</t>
  </si>
  <si>
    <t>Greedy</t>
  </si>
  <si>
    <t>Intervals</t>
  </si>
  <si>
    <t>Math &amp; Geometry</t>
  </si>
  <si>
    <t>Bit Manipulation</t>
  </si>
  <si>
    <t>Everything here calculates automatically. Only edit the Problems and Daily Plan sheets.</t>
  </si>
  <si>
    <t>Start date (change me):</t>
  </si>
  <si>
    <t>Day</t>
  </si>
  <si>
    <t>Date</t>
  </si>
  <si>
    <t>Focus</t>
  </si>
  <si>
    <t>Problems / Task</t>
  </si>
  <si>
    <t>Hours</t>
  </si>
  <si>
    <t>Day Done?</t>
  </si>
  <si>
    <t>Notes</t>
  </si>
  <si>
    <t>Foundation: Big O + string slicing</t>
  </si>
  <si>
    <t>Learn O(1), O(n), O(n^2), O(log n). Practice string slicing in Python. Watch NeetCode 'Big O' video.</t>
  </si>
  <si>
    <t>No</t>
  </si>
  <si>
    <t>Foundation: Hash maps &amp; sets</t>
  </si>
  <si>
    <t>dict, set, counting with dict, 'in' lookup is O(1). Write 5 small programs by hand.</t>
  </si>
  <si>
    <t>Foundation: Recursion</t>
  </si>
  <si>
    <t>Trace f(n)=n+f(n-1) by hand. Then factorial, fibonacci, sum of list recursively.</t>
  </si>
  <si>
    <t>Foundation: Mixed practice</t>
  </si>
  <si>
    <t>Redo weak questions from the foundation check. Set up NeetCode account. Warm-up: re-read Python dict/set/list methods.</t>
  </si>
  <si>
    <t>1. Contains Duplicate (Easy)
2. Valid Anagram (Easy)
3. Two Sum (Easy)
Revision (20 min): redo 1 problem marked REVISE from earlier days.</t>
  </si>
  <si>
    <t>1. Group Anagrams (Medium)
2. Top K Frequent Elements (Medium)
3. Encode and Decode Strings (Medium)
Revision (20 min): redo 1 problem marked REVISE from earlier days.</t>
  </si>
  <si>
    <t>Arrays &amp; Hashing  |  WEEKLY REVIEW (Sunday)</t>
  </si>
  <si>
    <t>1. Product of Array Except Self (Medium)
2. Valid Sudoku (Medium)
3. Longest Consecutive Sequence (Medium)
Weekly review: redo every REVISE problem from this week. Fill Weekly Summary sheet.
Revision (20 min): redo 1 problem marked REVISE from earlier days.</t>
  </si>
  <si>
    <t>1. Valid Palindrome (Easy)
2. Two Sum II - Input Array Is Sorted (Medium)
3. 3Sum (Medium)
Revision (20 min): redo 1 problem marked REVISE from earlier days.</t>
  </si>
  <si>
    <t>Two Pointers + Stack</t>
  </si>
  <si>
    <t>1. Container With Most Water (Medium)
2. Trapping Rain Water (Hard)
3. Valid Parentheses (Easy)
Revision (20 min): redo 1 problem marked REVISE from earlier days.</t>
  </si>
  <si>
    <t>1. Min Stack (Medium)
2. Evaluate Reverse Polish Notation (Medium)
3. Daily Temperatures (Medium)
Revision (20 min): redo 1 problem marked REVISE from earlier days.</t>
  </si>
  <si>
    <t>Stack + Binary Search</t>
  </si>
  <si>
    <t>1. Car Fleet (Medium)
2. Largest Rectangle in Histogram (Hard)
3. Binary Search (Easy)
Revision (20 min): redo 1 problem marked REVISE from earlier days.</t>
  </si>
  <si>
    <t>1. Search a 2D Matrix (Medium)
2. Koko Eating Bananas (Medium)
3. Find Minimum in Rotated Sorted Array (Medium)
Revision (20 min): redo 1 problem marked REVISE from earlier days.</t>
  </si>
  <si>
    <t>1. Search in Rotated Sorted Array (Medium)
2. Time Based Key-Value Store (Medium)
3. Median of Two Sorted Arrays (Hard)
Revision (20 min): redo 1 problem marked REVISE from earlier days.</t>
  </si>
  <si>
    <t>Sliding Window  |  WEEKLY REVIEW (Sunday)</t>
  </si>
  <si>
    <t>1. Best Time to Buy and Sell Stock (Easy)
2. Longest Substring Without Repeating Characters (Medium)
3. Longest Repeating Character Replacement (Medium)
Weekly review: redo every REVISE problem from this week. Fill Weekly Summary sheet.
Revision (20 min): redo 1 problem marked REVISE from earlier days.</t>
  </si>
  <si>
    <t>1. Permutation in String (Medium)
2. Minimum Window Substring (Hard)
3. Sliding Window Maximum (Hard)
Revision (20 min): redo 1 problem marked REVISE from earlier days.</t>
  </si>
  <si>
    <t>1. Reverse Linked List (Easy)
2. Merge Two Sorted Lists (Easy)
3. Linked List Cycle (Easy)
Revision (20 min): redo 1 problem marked REVISE from earlier days.</t>
  </si>
  <si>
    <t>1. Reorder List (Medium)
2. Remove Nth Node From End of List (Medium)
3. Copy List with Random Pointer (Medium)
Revision (20 min): redo 1 problem marked REVISE from earlier days.</t>
  </si>
  <si>
    <t>1. Add Two Numbers (Medium)
2. Find the Duplicate Number (Medium)
3. LRU Cache (Medium)
Revision (20 min): redo 1 problem marked REVISE from earlier days.</t>
  </si>
  <si>
    <t>Linked List + Trees</t>
  </si>
  <si>
    <t>1. Merge K Sorted Lists (Hard)
2. Reverse Nodes in K-Group (Hard)
3. Invert Binary Tree (Easy)
Revision (20 min): redo 1 problem marked REVISE from earlier days.</t>
  </si>
  <si>
    <t>1. Maximum Depth of Binary Tree (Easy)
2. Diameter of Binary Tree (Easy)
3. Balanced Binary Tree (Easy)
Revision (20 min): redo 1 problem marked REVISE from earlier days.</t>
  </si>
  <si>
    <t>Trees  |  WEEKLY REVIEW (Sunday)</t>
  </si>
  <si>
    <t>1. Same Tree (Easy)
2. Subtree of Another Tree (Easy)
3. Lowest Common Ancestor of a BST (Medium)
Weekly review: redo every REVISE problem from this week. Fill Weekly Summary sheet.
Revision (20 min): redo 1 problem marked REVISE from earlier days.</t>
  </si>
  <si>
    <t>1. Binary Tree Level Order Traversal (Medium)
2. Binary Tree Right Side View (Medium)
3. Count Good Nodes in Binary Tree (Medium)
Revision (20 min): redo 1 problem marked REVISE from earlier days.</t>
  </si>
  <si>
    <t>1. Validate Binary Search Tree (Medium)
2. Kth Smallest Element in a BST (Medium)
3. Construct Binary Tree from Preorder and Inorder Traversal (Medium)
Revision (20 min): redo 1 problem marked REVISE from earlier days.</t>
  </si>
  <si>
    <t>Trees + Tries</t>
  </si>
  <si>
    <t>1. Binary Tree Maximum Path Sum (Hard)
2. Serialize and Deserialize Binary Tree (Hard)
3. Implement Trie (Prefix Tree) (Medium)
Revision (20 min): redo 1 problem marked REVISE from earlier days.</t>
  </si>
  <si>
    <t>Tries + Heap / Priority Queue</t>
  </si>
  <si>
    <t>1. Design Add and Search Words Data Structure (Medium)
2. Word Search II (Hard)
3. Kth Largest Element in a Stream (Easy)
Revision (20 min): redo 1 problem marked REVISE from earlier days.</t>
  </si>
  <si>
    <t>1. Last Stone Weight (Easy)
2. K Closest Points to Origin (Medium)
3. Kth Largest Element in an Array (Medium)
Revision (20 min): redo 1 problem marked REVISE from earlier days.</t>
  </si>
  <si>
    <t>1. Task Scheduler (Medium)
2. Design Twitter (Medium)
3. Find Median from Data Stream (Hard)
Revision (20 min): redo 1 problem marked REVISE from earlier days.</t>
  </si>
  <si>
    <t>Backtracking  |  WEEKLY REVIEW (Sunday)</t>
  </si>
  <si>
    <t>1. Subsets (Medium)
2. Combination Sum (Medium)
3. Combination Sum II (Medium)
Weekly review: redo every REVISE problem from this week. Fill Weekly Summary sheet.
Revision (20 min): redo 1 problem marked REVISE from earlier days.</t>
  </si>
  <si>
    <t>1. Permutations (Medium)
2. Subsets II (Medium)
3. Generate Parentheses (Medium)
Revision (20 min): redo 1 problem marked REVISE from earlier days.</t>
  </si>
  <si>
    <t>1. Word Search (Medium)
2. Palindrome Partitioning (Medium)
3. Letter Combinations of a Phone Number (Medium)
Revision (20 min): redo 1 problem marked REVISE from earlier days.</t>
  </si>
  <si>
    <t>Backtracking + Graphs</t>
  </si>
  <si>
    <t>1. N-Queens (Hard)
2. Number of Islands (Medium)
3. Max Area of Island (Medium)
Revision (20 min): redo 1 problem marked REVISE from earlier days.</t>
  </si>
  <si>
    <t>1. Clone Graph (Medium)
2. Islands and Treasure (Walls and Gates) (Medium)
3. Rotting Oranges (Medium)
Revision (20 min): redo 1 problem marked REVISE from earlier days.</t>
  </si>
  <si>
    <t>1. Pacific Atlantic Water Flow (Medium)
2. Surrounded Regions (Medium)
3. Course Schedule (Medium)
Revision (20 min): redo 1 problem marked REVISE from earlier days.</t>
  </si>
  <si>
    <t>1. Course Schedule II (Medium)
2. Graph Valid Tree (Medium)
3. Number of Connected Components in an Undirected Graph (Medium)
Revision (20 min): redo 1 problem marked REVISE from earlier days.</t>
  </si>
  <si>
    <t>Graphs + Advanced Graphs  |  WEEKLY REVIEW (Sunday)</t>
  </si>
  <si>
    <t>1. Redundant Connection (Medium)
2. Word Ladder (Hard)
3. Reconstruct Itinerary (Hard)
Weekly review: redo every REVISE problem from this week. Fill Weekly Summary sheet.
Revision (20 min): redo 1 problem marked REVISE from earlier days.</t>
  </si>
  <si>
    <t>1. Min Cost to Connect All Points (Medium)
2. Network Delay Time (Medium)
3. Swim in Rising Water (Hard)
Revision (20 min): redo 1 problem marked REVISE from earlier days.</t>
  </si>
  <si>
    <t>Advanced Graphs + 1-D Dynamic Programming</t>
  </si>
  <si>
    <t>1. Alien Dictionary (Hard)
2. Cheapest Flights Within K Stops (Medium)
3. Climbing Stairs (Easy)
Revision (20 min): redo 1 problem marked REVISE from earlier days.</t>
  </si>
  <si>
    <t>1. Min Cost Climbing Stairs (Easy)
2. House Robber (Medium)
3. House Robber II (Medium)
Revision (20 min): redo 1 problem marked REVISE from earlier days.</t>
  </si>
  <si>
    <t>1. Longest Palindromic Substring (Medium)
2. Palindromic Substrings (Medium)
3. Decode Ways (Medium)
Revision (20 min): redo 1 problem marked REVISE from earlier days.</t>
  </si>
  <si>
    <t>1. Coin Change (Medium)
2. Maximum Product Subarray (Medium)
3. Word Break (Medium)
Revision (20 min): redo 1 problem marked REVISE from earlier days.</t>
  </si>
  <si>
    <t>1-D Dynamic Programming + 2-D Dynamic Programming</t>
  </si>
  <si>
    <t>1. Longest Increasing Subsequence (Medium)
2. Partition Equal Subset Sum (Medium)
3. Unique Paths (Medium)
Revision (20 min): redo 1 problem marked REVISE from earlier days.</t>
  </si>
  <si>
    <t>2-D Dynamic Programming  |  WEEKLY REVIEW (Sunday)</t>
  </si>
  <si>
    <t>1. Longest Common Subsequence (Medium)
2. Best Time to Buy and Sell Stock with Cooldown (Medium)
3. Coin Change II (Medium)
Weekly review: redo every REVISE problem from this week. Fill Weekly Summary sheet.
Revision (20 min): redo 1 problem marked REVISE from earlier days.</t>
  </si>
  <si>
    <t>1. Target Sum (Medium)
2. Interleaving String (Medium)
3. Longest Increasing Path in a Matrix (Hard)
Revision (20 min): redo 1 problem marked REVISE from earlier days.</t>
  </si>
  <si>
    <t>1. Distinct Subsequences (Hard)
2. Edit Distance (Medium)
3. Burst Balloons (Hard)
Revision (20 min): redo 1 problem marked REVISE from earlier days.</t>
  </si>
  <si>
    <t>2-D Dynamic Programming + Greedy</t>
  </si>
  <si>
    <t>1. Regular Expression Matching (Hard)
2. Maximum Subarray (Medium)
3. Jump Game (Medium)
Revision (20 min): redo 1 problem marked REVISE from earlier days.</t>
  </si>
  <si>
    <t>1. Jump Game II (Medium)
2. Gas Station (Medium)
3. Hand of Straights (Medium)
Revision (20 min): redo 1 problem marked REVISE from earlier days.</t>
  </si>
  <si>
    <t>1. Merge Triplets to Form Target Triplet (Medium)
2. Partition Labels (Medium)
3. Valid Parenthesis String (Medium)
Revision (20 min): redo 1 problem marked REVISE from earlier days.</t>
  </si>
  <si>
    <t>1. Insert Interval (Medium)
2. Merge Intervals (Medium)
3. Non-overlapping Intervals (Medium)
Revision (20 min): redo 1 problem marked REVISE from earlier days.</t>
  </si>
  <si>
    <t>Intervals  |  WEEKLY REVIEW (Sunday)</t>
  </si>
  <si>
    <t>1. Meeting Rooms (Easy)
2. Meeting Rooms II (Medium)
3. Minimum Interval to Include Each Query (Hard)
Weekly review: redo every REVISE problem from this week. Fill Weekly Summary sheet.
Revision (20 min): redo 1 problem marked REVISE from earlier days.</t>
  </si>
  <si>
    <t>1. Rotate Image (Medium)
2. Spiral Matrix (Medium)
3. Set Matrix Zeroes (Medium)
Revision (20 min): redo 1 problem marked REVISE from earlier days.</t>
  </si>
  <si>
    <t>1. Happy Number (Easy)
2. Plus One (Easy)
3. Pow(x, n) (Medium)
Revision (20 min): redo 1 problem marked REVISE from earlier days.</t>
  </si>
  <si>
    <t>Math &amp; Geometry + Bit Manipulation</t>
  </si>
  <si>
    <t>1. Multiply Strings (Medium)
2. Detect Squares (Medium)
3. Single Number (Easy)
Revision (20 min): redo 1 problem marked REVISE from earlier days.</t>
  </si>
  <si>
    <t>1. Number of 1 Bits (Easy)
2. Counting Bits (Easy)
3. Reverse Bits (Easy)
Revision (20 min): redo 1 problem marked REVISE from earlier days.</t>
  </si>
  <si>
    <t>1. Missing Number (Easy)
2. Sum of Two Integers (Medium)
3. Reverse Integer (Medium)
Revision (20 min): redo 1 problem marked REVISE from earlier days.</t>
  </si>
  <si>
    <t>Method for EVERY problem: 1) Try alone 20-30 min  2) Hint only if stuck  3) After solution, re-code from scratch  4) Explain pattern in your own words (write it in Problems sheet).</t>
  </si>
  <si>
    <t>#</t>
  </si>
  <si>
    <t>Problem</t>
  </si>
  <si>
    <t>Difficulty</t>
  </si>
  <si>
    <t>Planned Day</t>
  </si>
  <si>
    <t>Completed?</t>
  </si>
  <si>
    <t>Needed Hint?</t>
  </si>
  <si>
    <t>Attempts</t>
  </si>
  <si>
    <t>Revise?</t>
  </si>
  <si>
    <t>Date Solved</t>
  </si>
  <si>
    <t>Pattern in my own words / Notes</t>
  </si>
  <si>
    <t>Contains Duplicate</t>
  </si>
  <si>
    <t>Easy</t>
  </si>
  <si>
    <t>Not Completed</t>
  </si>
  <si>
    <t>Valid Anagram</t>
  </si>
  <si>
    <t>Two Sum</t>
  </si>
  <si>
    <t>Group Anagrams</t>
  </si>
  <si>
    <t>Medium</t>
  </si>
  <si>
    <t>Top K Frequent Elements</t>
  </si>
  <si>
    <t>Encode and Decode Strings</t>
  </si>
  <si>
    <t>Product of Array Except Self</t>
  </si>
  <si>
    <t>Valid Sudoku</t>
  </si>
  <si>
    <t>Longest Consecutive Sequence</t>
  </si>
  <si>
    <t>Valid Palindrome</t>
  </si>
  <si>
    <t>Two Sum II - Input Array Is Sorted</t>
  </si>
  <si>
    <t>3Sum</t>
  </si>
  <si>
    <t>Container With Most Water</t>
  </si>
  <si>
    <t>Trapping Rain Water</t>
  </si>
  <si>
    <t>Hard</t>
  </si>
  <si>
    <t>Valid Parentheses</t>
  </si>
  <si>
    <t>Min Stack</t>
  </si>
  <si>
    <t>Evaluate Reverse Polish Notation</t>
  </si>
  <si>
    <t>Daily Temperatures</t>
  </si>
  <si>
    <t>Car Fleet</t>
  </si>
  <si>
    <t>Largest Rectangle in Histogram</t>
  </si>
  <si>
    <t>Search a 2D Matrix</t>
  </si>
  <si>
    <t>Koko Eating Bananas</t>
  </si>
  <si>
    <t>Find Minimum in Rotated Sorted Array</t>
  </si>
  <si>
    <t>Search in Rotated Sorted Array</t>
  </si>
  <si>
    <t>Time Based Key-Value Store</t>
  </si>
  <si>
    <t>Median of Two Sorted Arrays</t>
  </si>
  <si>
    <t>Best Time to Buy and Sell Stock</t>
  </si>
  <si>
    <t>Longest Substring Without Repeating Characters</t>
  </si>
  <si>
    <t>Longest Repeating Character Replacement</t>
  </si>
  <si>
    <t>Permutation in String</t>
  </si>
  <si>
    <t>Minimum Window Substring</t>
  </si>
  <si>
    <t>Sliding Window Maximum</t>
  </si>
  <si>
    <t>Reverse Linked List</t>
  </si>
  <si>
    <t>Merge Two Sorted Lists</t>
  </si>
  <si>
    <t>Linked List Cycle</t>
  </si>
  <si>
    <t>Reorder List</t>
  </si>
  <si>
    <t>Remove Nth Node From End of List</t>
  </si>
  <si>
    <t>Copy List with Random Pointer</t>
  </si>
  <si>
    <t>Add Two Numbers</t>
  </si>
  <si>
    <t>Find the Duplicate Number</t>
  </si>
  <si>
    <t>LRU Cache</t>
  </si>
  <si>
    <t>Merge K Sorted Lists</t>
  </si>
  <si>
    <t>Reverse Nodes in K-Group</t>
  </si>
  <si>
    <t>Invert Binary Tree</t>
  </si>
  <si>
    <t>Maximum Depth of Binary Tree</t>
  </si>
  <si>
    <t>Diameter of Binary Tree</t>
  </si>
  <si>
    <t>Balanced Binary Tree</t>
  </si>
  <si>
    <t>Same Tree</t>
  </si>
  <si>
    <t>Subtree of Another Tree</t>
  </si>
  <si>
    <t>Lowest Common Ancestor of a BST</t>
  </si>
  <si>
    <t>Binary Tree Level Order Traversal</t>
  </si>
  <si>
    <t>Binary Tree Right Side View</t>
  </si>
  <si>
    <t>Count Good Nodes in Binary Tree</t>
  </si>
  <si>
    <t>Validate Binary Search Tree</t>
  </si>
  <si>
    <t>Kth Smallest Element in a BST</t>
  </si>
  <si>
    <t>Construct Binary Tree from Preorder and Inorder Traversal</t>
  </si>
  <si>
    <t>Binary Tree Maximum Path Sum</t>
  </si>
  <si>
    <t>Serialize and Deserialize Binary Tree</t>
  </si>
  <si>
    <t>Implement Trie (Prefix Tree)</t>
  </si>
  <si>
    <t>Design Add and Search Words Data Structure</t>
  </si>
  <si>
    <t>Word Search II</t>
  </si>
  <si>
    <t>Kth Largest Element in a Stream</t>
  </si>
  <si>
    <t>Last Stone Weight</t>
  </si>
  <si>
    <t>K Closest Points to Origin</t>
  </si>
  <si>
    <t>Kth Largest Element in an Array</t>
  </si>
  <si>
    <t>Task Scheduler</t>
  </si>
  <si>
    <t>Design Twitter</t>
  </si>
  <si>
    <t>Find Median from Data Stream</t>
  </si>
  <si>
    <t>Subsets</t>
  </si>
  <si>
    <t>Combination Sum</t>
  </si>
  <si>
    <t>Combination Sum II</t>
  </si>
  <si>
    <t>Permutations</t>
  </si>
  <si>
    <t>Subsets II</t>
  </si>
  <si>
    <t>Generate Parentheses</t>
  </si>
  <si>
    <t>Word Search</t>
  </si>
  <si>
    <t>Palindrome Partitioning</t>
  </si>
  <si>
    <t>Letter Combinations of a Phone Number</t>
  </si>
  <si>
    <t>N-Queens</t>
  </si>
  <si>
    <t>Number of Islands</t>
  </si>
  <si>
    <t>Max Area of Island</t>
  </si>
  <si>
    <t>Clone Graph</t>
  </si>
  <si>
    <t>Islands and Treasure (Walls and Gates)</t>
  </si>
  <si>
    <t>Rotting Oranges</t>
  </si>
  <si>
    <t>Pacific Atlantic Water Flow</t>
  </si>
  <si>
    <t>Surrounded Regions</t>
  </si>
  <si>
    <t>Course Schedule</t>
  </si>
  <si>
    <t>Course Schedule II</t>
  </si>
  <si>
    <t>Graph Valid Tree</t>
  </si>
  <si>
    <t>Number of Connected Components in an Undirected Graph</t>
  </si>
  <si>
    <t>Redundant Connection</t>
  </si>
  <si>
    <t>Word Ladder</t>
  </si>
  <si>
    <t>Reconstruct Itinerary</t>
  </si>
  <si>
    <t>Min Cost to Connect All Points</t>
  </si>
  <si>
    <t>Network Delay Time</t>
  </si>
  <si>
    <t>Swim in Rising Water</t>
  </si>
  <si>
    <t>Alien Dictionary</t>
  </si>
  <si>
    <t>Cheapest Flights Within K Stops</t>
  </si>
  <si>
    <t>Climbing Stairs</t>
  </si>
  <si>
    <t>Min Cost Climbing Stairs</t>
  </si>
  <si>
    <t>House Robber</t>
  </si>
  <si>
    <t>House Robber II</t>
  </si>
  <si>
    <t>Longest Palindromic Substring</t>
  </si>
  <si>
    <t>Palindromic Substrings</t>
  </si>
  <si>
    <t>Decode Ways</t>
  </si>
  <si>
    <t>Coin Change</t>
  </si>
  <si>
    <t>Maximum Product Subarray</t>
  </si>
  <si>
    <t>Word Break</t>
  </si>
  <si>
    <t>Longest Increasing Subsequence</t>
  </si>
  <si>
    <t>Partition Equal Subset Sum</t>
  </si>
  <si>
    <t>Unique Paths</t>
  </si>
  <si>
    <t>Longest Common Subsequence</t>
  </si>
  <si>
    <t>Best Time to Buy and Sell Stock with Cooldown</t>
  </si>
  <si>
    <t>Coin Change II</t>
  </si>
  <si>
    <t>Target Sum</t>
  </si>
  <si>
    <t>Interleaving String</t>
  </si>
  <si>
    <t>Longest Increasing Path in a Matrix</t>
  </si>
  <si>
    <t>Distinct Subsequences</t>
  </si>
  <si>
    <t>Edit Distance</t>
  </si>
  <si>
    <t>Burst Balloons</t>
  </si>
  <si>
    <t>Regular Expression Matching</t>
  </si>
  <si>
    <t>Maximum Subarray</t>
  </si>
  <si>
    <t>Jump Game</t>
  </si>
  <si>
    <t>Jump Game II</t>
  </si>
  <si>
    <t>Gas Station</t>
  </si>
  <si>
    <t>Hand of Straights</t>
  </si>
  <si>
    <t>Merge Triplets to Form Target Triplet</t>
  </si>
  <si>
    <t>Partition Labels</t>
  </si>
  <si>
    <t>Valid Parenthesis String</t>
  </si>
  <si>
    <t>Insert Interval</t>
  </si>
  <si>
    <t>Merge Intervals</t>
  </si>
  <si>
    <t>Non-overlapping Intervals</t>
  </si>
  <si>
    <t>Meeting Rooms</t>
  </si>
  <si>
    <t>Meeting Rooms II</t>
  </si>
  <si>
    <t>Minimum Interval to Include Each Query</t>
  </si>
  <si>
    <t>Rotate Image</t>
  </si>
  <si>
    <t>Spiral Matrix</t>
  </si>
  <si>
    <t>Set Matrix Zeroes</t>
  </si>
  <si>
    <t>Happy Number</t>
  </si>
  <si>
    <t>Plus One</t>
  </si>
  <si>
    <t>Pow(x, n)</t>
  </si>
  <si>
    <t>Multiply Strings</t>
  </si>
  <si>
    <t>Detect Squares</t>
  </si>
  <si>
    <t>Single Number</t>
  </si>
  <si>
    <t>Number of 1 Bits</t>
  </si>
  <si>
    <t>Counting Bits</t>
  </si>
  <si>
    <t>Reverse Bits</t>
  </si>
  <si>
    <t>Missing Number</t>
  </si>
  <si>
    <t>Sum of Two Integers</t>
  </si>
  <si>
    <t>Reverse Integer</t>
  </si>
  <si>
    <t>Legend: blue cells = you edit (click the cell, pick from dropdown). Completed? = Completed / Not Completed. Needed Hint? = Yes / No. If Needed Hint? = Yes, Revise? shows REVISE automatically.</t>
  </si>
  <si>
    <t>Week (Sunday)</t>
  </si>
  <si>
    <t>Problems finished</t>
  </si>
  <si>
    <t>Weak topics / problems</t>
  </si>
  <si>
    <t>What I will fix next week</t>
  </si>
  <si>
    <t>Hours studied</t>
  </si>
  <si>
    <t>Week 1 (Day 7)</t>
  </si>
  <si>
    <t>Week 2 (Day 14)</t>
  </si>
  <si>
    <t>Week 3 (Day 21)</t>
  </si>
  <si>
    <t>Week 4 (Day 28)</t>
  </si>
  <si>
    <t>Week 5 (Day 35)</t>
  </si>
  <si>
    <t>Week 6 (Day 42)</t>
  </si>
  <si>
    <t>Week 7 (Day 49)</t>
  </si>
  <si>
    <t>Week 8 (Day 54)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</si>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</sst>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&quot;, &quot;dd\-mmm\-yyyy"/>
    <numFmt numFmtId="165" formatCode="ddd\ dd\-mmm"/>
    <numFmt numFmtId="166" formatCode="dd\-mmm\-yyyy"/>
  </numFmts>
  <fonts count="8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b/>
      <sz val="11"/>
      <color rgb="FF0000FF"/>
      <name val="Arial"/>
      <charset val="1"/>
    </font>
    <font>
      <b/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5" fillId="0" borderId="0" xfId="0" applyFont="1"/>
    <xf numFmtId="164" fontId="6" fillId="3" borderId="0" xfId="0" applyNumberFormat="1" applyFont="1" applyFill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165" fontId="3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6"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zoomScaleNormal="100" workbookViewId="0"/>
  </sheetViews>
  <sheetFormatPr defaultColWidth="8.6640625" defaultRowHeight="14.4" x14ac:dyDescent="0.3"/>
  <cols>
    <col min="1" max="1" width="38" customWidth="1"/>
    <col min="2" max="5" width="16" customWidth="1"/>
  </cols>
  <sheetData>
    <row r="1" spans="1:5" ht="21" x14ac:dyDescent="0.4">
      <c r="A1" s="1" t="s">
        <v>0</v>
      </c>
    </row>
    <row r="3" spans="1:5" x14ac:dyDescent="0.3">
      <c r="A3" s="2" t="s">
        <v>1</v>
      </c>
      <c r="B3" s="3">
        <f>COUNTA(Problems!C2:C151)</f>
        <v>150</v>
      </c>
    </row>
    <row r="4" spans="1:5" x14ac:dyDescent="0.3">
      <c r="A4" s="2" t="s">
        <v>2</v>
      </c>
      <c r="B4" s="3">
        <f>COUNTIF(Problems!F2:F151,"Completed")</f>
        <v>0</v>
      </c>
    </row>
    <row r="5" spans="1:5" x14ac:dyDescent="0.3">
      <c r="A5" s="2" t="s">
        <v>3</v>
      </c>
      <c r="B5" s="4">
        <f>IF(B3=0,0,B4/B3)</f>
        <v>0</v>
      </c>
    </row>
    <row r="6" spans="1:5" x14ac:dyDescent="0.3">
      <c r="A6" s="2" t="s">
        <v>4</v>
      </c>
      <c r="B6" s="3">
        <f>COUNTIF(Problems!I2:I151,"REVISE")</f>
        <v>0</v>
      </c>
    </row>
    <row r="7" spans="1:5" x14ac:dyDescent="0.3">
      <c r="A7" s="2" t="s">
        <v>5</v>
      </c>
      <c r="B7" s="3">
        <f>COUNTIF('Daily Plan'!F4:F57,"Yes")</f>
        <v>1</v>
      </c>
    </row>
    <row r="8" spans="1:5" x14ac:dyDescent="0.3">
      <c r="A8" s="2" t="s">
        <v>6</v>
      </c>
      <c r="B8" s="3">
        <f>COUNTIF('Daily Plan'!F4:F57,"No")</f>
        <v>53</v>
      </c>
    </row>
    <row r="11" spans="1:5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</row>
    <row r="12" spans="1:5" x14ac:dyDescent="0.3">
      <c r="A12" s="6" t="s">
        <v>12</v>
      </c>
      <c r="B12" s="7">
        <f>COUNTIF(Problems!$B$2:$B$151,A12)</f>
        <v>9</v>
      </c>
      <c r="C12" s="7">
        <f>COUNTIFS(Problems!$B$2:$B$151,A12,Problems!$F$2:$F$151,"Completed")</f>
        <v>0</v>
      </c>
      <c r="D12" s="8">
        <f t="shared" ref="D12:D29" si="0">IF(B12=0,0,C12/B12)</f>
        <v>0</v>
      </c>
      <c r="E12" s="7">
        <f>COUNTIFS(Problems!$B$2:$B$151,A12,Problems!$I$2:$I$151,"REVISE")</f>
        <v>0</v>
      </c>
    </row>
    <row r="13" spans="1:5" x14ac:dyDescent="0.3">
      <c r="A13" s="6" t="s">
        <v>13</v>
      </c>
      <c r="B13" s="7">
        <f>COUNTIF(Problems!$B$2:$B$151,A13)</f>
        <v>5</v>
      </c>
      <c r="C13" s="7">
        <f>COUNTIFS(Problems!$B$2:$B$151,A13,Problems!$F$2:$F$151,"Completed")</f>
        <v>0</v>
      </c>
      <c r="D13" s="8">
        <f t="shared" si="0"/>
        <v>0</v>
      </c>
      <c r="E13" s="7">
        <f>COUNTIFS(Problems!$B$2:$B$151,A13,Problems!$I$2:$I$151,"REVISE")</f>
        <v>0</v>
      </c>
    </row>
    <row r="14" spans="1:5" x14ac:dyDescent="0.3">
      <c r="A14" s="6" t="s">
        <v>14</v>
      </c>
      <c r="B14" s="7">
        <f>COUNTIF(Problems!$B$2:$B$151,A14)</f>
        <v>6</v>
      </c>
      <c r="C14" s="7">
        <f>COUNTIFS(Problems!$B$2:$B$151,A14,Problems!$F$2:$F$151,"Completed")</f>
        <v>0</v>
      </c>
      <c r="D14" s="8">
        <f t="shared" si="0"/>
        <v>0</v>
      </c>
      <c r="E14" s="7">
        <f>COUNTIFS(Problems!$B$2:$B$151,A14,Problems!$I$2:$I$151,"REVISE")</f>
        <v>0</v>
      </c>
    </row>
    <row r="15" spans="1:5" x14ac:dyDescent="0.3">
      <c r="A15" s="6" t="s">
        <v>15</v>
      </c>
      <c r="B15" s="7">
        <f>COUNTIF(Problems!$B$2:$B$151,A15)</f>
        <v>7</v>
      </c>
      <c r="C15" s="7">
        <f>COUNTIFS(Problems!$B$2:$B$151,A15,Problems!$F$2:$F$151,"Completed")</f>
        <v>0</v>
      </c>
      <c r="D15" s="8">
        <f t="shared" si="0"/>
        <v>0</v>
      </c>
      <c r="E15" s="7">
        <f>COUNTIFS(Problems!$B$2:$B$151,A15,Problems!$I$2:$I$151,"REVISE")</f>
        <v>0</v>
      </c>
    </row>
    <row r="16" spans="1:5" x14ac:dyDescent="0.3">
      <c r="A16" s="6" t="s">
        <v>16</v>
      </c>
      <c r="B16" s="7">
        <f>COUNTIF(Problems!$B$2:$B$151,A16)</f>
        <v>6</v>
      </c>
      <c r="C16" s="7">
        <f>COUNTIFS(Problems!$B$2:$B$151,A16,Problems!$F$2:$F$151,"Completed")</f>
        <v>0</v>
      </c>
      <c r="D16" s="8">
        <f t="shared" si="0"/>
        <v>0</v>
      </c>
      <c r="E16" s="7">
        <f>COUNTIFS(Problems!$B$2:$B$151,A16,Problems!$I$2:$I$151,"REVISE")</f>
        <v>0</v>
      </c>
    </row>
    <row r="17" spans="1:5" x14ac:dyDescent="0.3">
      <c r="A17" s="6" t="s">
        <v>17</v>
      </c>
      <c r="B17" s="7">
        <f>COUNTIF(Problems!$B$2:$B$151,A17)</f>
        <v>11</v>
      </c>
      <c r="C17" s="7">
        <f>COUNTIFS(Problems!$B$2:$B$151,A17,Problems!$F$2:$F$151,"Completed")</f>
        <v>0</v>
      </c>
      <c r="D17" s="8">
        <f t="shared" si="0"/>
        <v>0</v>
      </c>
      <c r="E17" s="7">
        <f>COUNTIFS(Problems!$B$2:$B$151,A17,Problems!$I$2:$I$151,"REVISE")</f>
        <v>0</v>
      </c>
    </row>
    <row r="18" spans="1:5" x14ac:dyDescent="0.3">
      <c r="A18" s="6" t="s">
        <v>18</v>
      </c>
      <c r="B18" s="7">
        <f>COUNTIF(Problems!$B$2:$B$151,A18)</f>
        <v>15</v>
      </c>
      <c r="C18" s="7">
        <f>COUNTIFS(Problems!$B$2:$B$151,A18,Problems!$F$2:$F$151,"Completed")</f>
        <v>0</v>
      </c>
      <c r="D18" s="8">
        <f t="shared" si="0"/>
        <v>0</v>
      </c>
      <c r="E18" s="7">
        <f>COUNTIFS(Problems!$B$2:$B$151,A18,Problems!$I$2:$I$151,"REVISE")</f>
        <v>0</v>
      </c>
    </row>
    <row r="19" spans="1:5" x14ac:dyDescent="0.3">
      <c r="A19" s="6" t="s">
        <v>19</v>
      </c>
      <c r="B19" s="7">
        <f>COUNTIF(Problems!$B$2:$B$151,A19)</f>
        <v>3</v>
      </c>
      <c r="C19" s="7">
        <f>COUNTIFS(Problems!$B$2:$B$151,A19,Problems!$F$2:$F$151,"Completed")</f>
        <v>0</v>
      </c>
      <c r="D19" s="8">
        <f t="shared" si="0"/>
        <v>0</v>
      </c>
      <c r="E19" s="7">
        <f>COUNTIFS(Problems!$B$2:$B$151,A19,Problems!$I$2:$I$151,"REVISE")</f>
        <v>0</v>
      </c>
    </row>
    <row r="20" spans="1:5" x14ac:dyDescent="0.3">
      <c r="A20" s="6" t="s">
        <v>20</v>
      </c>
      <c r="B20" s="7">
        <f>COUNTIF(Problems!$B$2:$B$151,A20)</f>
        <v>7</v>
      </c>
      <c r="C20" s="7">
        <f>COUNTIFS(Problems!$B$2:$B$151,A20,Problems!$F$2:$F$151,"Completed")</f>
        <v>0</v>
      </c>
      <c r="D20" s="8">
        <f t="shared" si="0"/>
        <v>0</v>
      </c>
      <c r="E20" s="7">
        <f>COUNTIFS(Problems!$B$2:$B$151,A20,Problems!$I$2:$I$151,"REVISE")</f>
        <v>0</v>
      </c>
    </row>
    <row r="21" spans="1:5" x14ac:dyDescent="0.3">
      <c r="A21" s="6" t="s">
        <v>21</v>
      </c>
      <c r="B21" s="7">
        <f>COUNTIF(Problems!$B$2:$B$151,A21)</f>
        <v>10</v>
      </c>
      <c r="C21" s="7">
        <f>COUNTIFS(Problems!$B$2:$B$151,A21,Problems!$F$2:$F$151,"Completed")</f>
        <v>0</v>
      </c>
      <c r="D21" s="8">
        <f t="shared" si="0"/>
        <v>0</v>
      </c>
      <c r="E21" s="7">
        <f>COUNTIFS(Problems!$B$2:$B$151,A21,Problems!$I$2:$I$151,"REVISE")</f>
        <v>0</v>
      </c>
    </row>
    <row r="22" spans="1:5" x14ac:dyDescent="0.3">
      <c r="A22" s="6" t="s">
        <v>22</v>
      </c>
      <c r="B22" s="7">
        <f>COUNTIF(Problems!$B$2:$B$151,A22)</f>
        <v>13</v>
      </c>
      <c r="C22" s="7">
        <f>COUNTIFS(Problems!$B$2:$B$151,A22,Problems!$F$2:$F$151,"Completed")</f>
        <v>0</v>
      </c>
      <c r="D22" s="8">
        <f t="shared" si="0"/>
        <v>0</v>
      </c>
      <c r="E22" s="7">
        <f>COUNTIFS(Problems!$B$2:$B$151,A22,Problems!$I$2:$I$151,"REVISE")</f>
        <v>0</v>
      </c>
    </row>
    <row r="23" spans="1:5" x14ac:dyDescent="0.3">
      <c r="A23" s="6" t="s">
        <v>23</v>
      </c>
      <c r="B23" s="7">
        <f>COUNTIF(Problems!$B$2:$B$151,A23)</f>
        <v>6</v>
      </c>
      <c r="C23" s="7">
        <f>COUNTIFS(Problems!$B$2:$B$151,A23,Problems!$F$2:$F$151,"Completed")</f>
        <v>0</v>
      </c>
      <c r="D23" s="8">
        <f t="shared" si="0"/>
        <v>0</v>
      </c>
      <c r="E23" s="7">
        <f>COUNTIFS(Problems!$B$2:$B$151,A23,Problems!$I$2:$I$151,"REVISE")</f>
        <v>0</v>
      </c>
    </row>
    <row r="24" spans="1:5" x14ac:dyDescent="0.3">
      <c r="A24" s="6" t="s">
        <v>24</v>
      </c>
      <c r="B24" s="7">
        <f>COUNTIF(Problems!$B$2:$B$151,A24)</f>
        <v>12</v>
      </c>
      <c r="C24" s="7">
        <f>COUNTIFS(Problems!$B$2:$B$151,A24,Problems!$F$2:$F$151,"Completed")</f>
        <v>0</v>
      </c>
      <c r="D24" s="8">
        <f t="shared" si="0"/>
        <v>0</v>
      </c>
      <c r="E24" s="7">
        <f>COUNTIFS(Problems!$B$2:$B$151,A24,Problems!$I$2:$I$151,"REVISE")</f>
        <v>0</v>
      </c>
    </row>
    <row r="25" spans="1:5" x14ac:dyDescent="0.3">
      <c r="A25" s="6" t="s">
        <v>25</v>
      </c>
      <c r="B25" s="7">
        <f>COUNTIF(Problems!$B$2:$B$151,A25)</f>
        <v>11</v>
      </c>
      <c r="C25" s="7">
        <f>COUNTIFS(Problems!$B$2:$B$151,A25,Problems!$F$2:$F$151,"Completed")</f>
        <v>0</v>
      </c>
      <c r="D25" s="8">
        <f t="shared" si="0"/>
        <v>0</v>
      </c>
      <c r="E25" s="7">
        <f>COUNTIFS(Problems!$B$2:$B$151,A25,Problems!$I$2:$I$151,"REVISE")</f>
        <v>0</v>
      </c>
    </row>
    <row r="26" spans="1:5" x14ac:dyDescent="0.3">
      <c r="A26" s="6" t="s">
        <v>26</v>
      </c>
      <c r="B26" s="7">
        <f>COUNTIF(Problems!$B$2:$B$151,A26)</f>
        <v>8</v>
      </c>
      <c r="C26" s="7">
        <f>COUNTIFS(Problems!$B$2:$B$151,A26,Problems!$F$2:$F$151,"Completed")</f>
        <v>0</v>
      </c>
      <c r="D26" s="8">
        <f t="shared" si="0"/>
        <v>0</v>
      </c>
      <c r="E26" s="7">
        <f>COUNTIFS(Problems!$B$2:$B$151,A26,Problems!$I$2:$I$151,"REVISE")</f>
        <v>0</v>
      </c>
    </row>
    <row r="27" spans="1:5" x14ac:dyDescent="0.3">
      <c r="A27" s="6" t="s">
        <v>27</v>
      </c>
      <c r="B27" s="7">
        <f>COUNTIF(Problems!$B$2:$B$151,A27)</f>
        <v>6</v>
      </c>
      <c r="C27" s="7">
        <f>COUNTIFS(Problems!$B$2:$B$151,A27,Problems!$F$2:$F$151,"Completed")</f>
        <v>0</v>
      </c>
      <c r="D27" s="8">
        <f t="shared" si="0"/>
        <v>0</v>
      </c>
      <c r="E27" s="7">
        <f>COUNTIFS(Problems!$B$2:$B$151,A27,Problems!$I$2:$I$151,"REVISE")</f>
        <v>0</v>
      </c>
    </row>
    <row r="28" spans="1:5" x14ac:dyDescent="0.3">
      <c r="A28" s="6" t="s">
        <v>28</v>
      </c>
      <c r="B28" s="7">
        <f>COUNTIF(Problems!$B$2:$B$151,A28)</f>
        <v>8</v>
      </c>
      <c r="C28" s="7">
        <f>COUNTIFS(Problems!$B$2:$B$151,A28,Problems!$F$2:$F$151,"Completed")</f>
        <v>0</v>
      </c>
      <c r="D28" s="8">
        <f t="shared" si="0"/>
        <v>0</v>
      </c>
      <c r="E28" s="7">
        <f>COUNTIFS(Problems!$B$2:$B$151,A28,Problems!$I$2:$I$151,"REVISE")</f>
        <v>0</v>
      </c>
    </row>
    <row r="29" spans="1:5" x14ac:dyDescent="0.3">
      <c r="A29" s="6" t="s">
        <v>29</v>
      </c>
      <c r="B29" s="7">
        <f>COUNTIF(Problems!$B$2:$B$151,A29)</f>
        <v>7</v>
      </c>
      <c r="C29" s="7">
        <f>COUNTIFS(Problems!$B$2:$B$151,A29,Problems!$F$2:$F$151,"Completed")</f>
        <v>0</v>
      </c>
      <c r="D29" s="8">
        <f t="shared" si="0"/>
        <v>0</v>
      </c>
      <c r="E29" s="7">
        <f>COUNTIFS(Problems!$B$2:$B$151,A29,Problems!$I$2:$I$151,"REVISE")</f>
        <v>0</v>
      </c>
    </row>
    <row r="31" spans="1:5" x14ac:dyDescent="0.3">
      <c r="A31" s="9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tabSelected="1" zoomScaleNormal="100" workbookViewId="0">
      <pane ySplit="3" topLeftCell="A4" activePane="bottomLeft" state="frozen"/>
      <selection pane="bottomLeft" activeCell="F4" sqref="F4"/>
    </sheetView>
  </sheetViews>
  <sheetFormatPr defaultColWidth="8.6640625" defaultRowHeight="14.4" x14ac:dyDescent="0.3"/>
  <cols>
    <col min="1" max="1" width="6" customWidth="1"/>
    <col min="2" max="2" width="14" customWidth="1"/>
    <col min="3" max="3" width="34" customWidth="1"/>
    <col min="4" max="4" width="62" customWidth="1"/>
    <col min="5" max="5" width="8" customWidth="1"/>
    <col min="6" max="6" width="12" customWidth="1"/>
    <col min="7" max="7" width="35" customWidth="1"/>
  </cols>
  <sheetData>
    <row r="1" spans="1:7" x14ac:dyDescent="0.3">
      <c r="A1" s="2" t="s">
        <v>31</v>
      </c>
      <c r="C1" s="10">
        <v>46321</v>
      </c>
    </row>
    <row r="3" spans="1:7" x14ac:dyDescent="0.3">
      <c r="A3" s="11" t="s">
        <v>32</v>
      </c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spans="1:7" ht="45" customHeight="1" x14ac:dyDescent="0.3">
      <c r="A4" s="12">
        <v>1</v>
      </c>
      <c r="B4" s="13">
        <f t="shared" ref="B4:B35" si="0">$C$1+A4-1</f>
        <v>46321</v>
      </c>
      <c r="C4" s="14" t="s">
        <v>39</v>
      </c>
      <c r="D4" s="14" t="s">
        <v>40</v>
      </c>
      <c r="E4" s="15">
        <v>2</v>
      </c>
      <c r="F4" s="15" t="s">
        <v>293</v>
      </c>
      <c r="G4" s="16"/>
    </row>
    <row r="5" spans="1:7" ht="45" customHeight="1" x14ac:dyDescent="0.3">
      <c r="A5" s="12">
        <v>2</v>
      </c>
      <c r="B5" s="13">
        <f t="shared" si="0"/>
        <v>46322</v>
      </c>
      <c r="C5" s="14" t="s">
        <v>42</v>
      </c>
      <c r="D5" s="14" t="s">
        <v>43</v>
      </c>
      <c r="E5" s="15">
        <v>2</v>
      </c>
      <c r="F5" s="15" t="s">
        <v>41</v>
      </c>
      <c r="G5" s="16"/>
    </row>
    <row r="6" spans="1:7" ht="45" customHeight="1" x14ac:dyDescent="0.3">
      <c r="A6" s="12">
        <v>3</v>
      </c>
      <c r="B6" s="13">
        <f t="shared" si="0"/>
        <v>46323</v>
      </c>
      <c r="C6" s="14" t="s">
        <v>44</v>
      </c>
      <c r="D6" s="14" t="s">
        <v>45</v>
      </c>
      <c r="E6" s="15">
        <v>2</v>
      </c>
      <c r="F6" s="15" t="s">
        <v>41</v>
      </c>
      <c r="G6" s="16"/>
    </row>
    <row r="7" spans="1:7" ht="45" customHeight="1" x14ac:dyDescent="0.3">
      <c r="A7" s="12">
        <v>4</v>
      </c>
      <c r="B7" s="13">
        <f t="shared" si="0"/>
        <v>46324</v>
      </c>
      <c r="C7" s="14" t="s">
        <v>46</v>
      </c>
      <c r="D7" s="14" t="s">
        <v>47</v>
      </c>
      <c r="E7" s="15">
        <v>2</v>
      </c>
      <c r="F7" s="15" t="s">
        <v>41</v>
      </c>
      <c r="G7" s="16"/>
    </row>
    <row r="8" spans="1:7" ht="79.5" customHeight="1" x14ac:dyDescent="0.3">
      <c r="A8" s="12">
        <v>5</v>
      </c>
      <c r="B8" s="13">
        <f t="shared" si="0"/>
        <v>46325</v>
      </c>
      <c r="C8" s="14" t="s">
        <v>12</v>
      </c>
      <c r="D8" s="14" t="s">
        <v>48</v>
      </c>
      <c r="E8" s="15">
        <v>2</v>
      </c>
      <c r="F8" s="15" t="s">
        <v>41</v>
      </c>
      <c r="G8" s="16"/>
    </row>
    <row r="9" spans="1:7" ht="79.5" customHeight="1" x14ac:dyDescent="0.3">
      <c r="A9" s="12">
        <v>6</v>
      </c>
      <c r="B9" s="13">
        <f t="shared" si="0"/>
        <v>46326</v>
      </c>
      <c r="C9" s="14" t="s">
        <v>12</v>
      </c>
      <c r="D9" s="14" t="s">
        <v>49</v>
      </c>
      <c r="E9" s="15">
        <v>2</v>
      </c>
      <c r="F9" s="15" t="s">
        <v>41</v>
      </c>
      <c r="G9" s="16"/>
    </row>
    <row r="10" spans="1:7" ht="96" customHeight="1" x14ac:dyDescent="0.3">
      <c r="A10" s="17">
        <v>7</v>
      </c>
      <c r="B10" s="18">
        <f t="shared" si="0"/>
        <v>46327</v>
      </c>
      <c r="C10" s="19" t="s">
        <v>50</v>
      </c>
      <c r="D10" s="19" t="s">
        <v>51</v>
      </c>
      <c r="E10" s="20">
        <v>2</v>
      </c>
      <c r="F10" s="20" t="s">
        <v>41</v>
      </c>
      <c r="G10" s="21"/>
    </row>
    <row r="11" spans="1:7" ht="79.5" customHeight="1" x14ac:dyDescent="0.3">
      <c r="A11" s="12">
        <v>8</v>
      </c>
      <c r="B11" s="13">
        <f t="shared" si="0"/>
        <v>46328</v>
      </c>
      <c r="C11" s="14" t="s">
        <v>13</v>
      </c>
      <c r="D11" s="14" t="s">
        <v>52</v>
      </c>
      <c r="E11" s="15">
        <v>2</v>
      </c>
      <c r="F11" s="15" t="s">
        <v>41</v>
      </c>
      <c r="G11" s="16"/>
    </row>
    <row r="12" spans="1:7" ht="79.5" customHeight="1" x14ac:dyDescent="0.3">
      <c r="A12" s="12">
        <v>9</v>
      </c>
      <c r="B12" s="13">
        <f t="shared" si="0"/>
        <v>46329</v>
      </c>
      <c r="C12" s="14" t="s">
        <v>53</v>
      </c>
      <c r="D12" s="14" t="s">
        <v>54</v>
      </c>
      <c r="E12" s="15">
        <v>2</v>
      </c>
      <c r="F12" s="15" t="s">
        <v>41</v>
      </c>
      <c r="G12" s="16"/>
    </row>
    <row r="13" spans="1:7" ht="79.5" customHeight="1" x14ac:dyDescent="0.3">
      <c r="A13" s="12">
        <v>10</v>
      </c>
      <c r="B13" s="13">
        <f t="shared" si="0"/>
        <v>46330</v>
      </c>
      <c r="C13" s="14" t="s">
        <v>14</v>
      </c>
      <c r="D13" s="14" t="s">
        <v>55</v>
      </c>
      <c r="E13" s="15">
        <v>2</v>
      </c>
      <c r="F13" s="15" t="s">
        <v>41</v>
      </c>
      <c r="G13" s="16"/>
    </row>
    <row r="14" spans="1:7" ht="79.5" customHeight="1" x14ac:dyDescent="0.3">
      <c r="A14" s="12">
        <v>11</v>
      </c>
      <c r="B14" s="13">
        <f t="shared" si="0"/>
        <v>46331</v>
      </c>
      <c r="C14" s="14" t="s">
        <v>56</v>
      </c>
      <c r="D14" s="14" t="s">
        <v>57</v>
      </c>
      <c r="E14" s="15">
        <v>2</v>
      </c>
      <c r="F14" s="15" t="s">
        <v>41</v>
      </c>
      <c r="G14" s="16"/>
    </row>
    <row r="15" spans="1:7" ht="79.5" customHeight="1" x14ac:dyDescent="0.3">
      <c r="A15" s="12">
        <v>12</v>
      </c>
      <c r="B15" s="13">
        <f t="shared" si="0"/>
        <v>46332</v>
      </c>
      <c r="C15" s="14" t="s">
        <v>15</v>
      </c>
      <c r="D15" s="14" t="s">
        <v>58</v>
      </c>
      <c r="E15" s="15">
        <v>2</v>
      </c>
      <c r="F15" s="15" t="s">
        <v>41</v>
      </c>
      <c r="G15" s="16"/>
    </row>
    <row r="16" spans="1:7" ht="79.5" customHeight="1" x14ac:dyDescent="0.3">
      <c r="A16" s="12">
        <v>13</v>
      </c>
      <c r="B16" s="13">
        <f t="shared" si="0"/>
        <v>46333</v>
      </c>
      <c r="C16" s="14" t="s">
        <v>15</v>
      </c>
      <c r="D16" s="14" t="s">
        <v>59</v>
      </c>
      <c r="E16" s="15">
        <v>2</v>
      </c>
      <c r="F16" s="15" t="s">
        <v>41</v>
      </c>
      <c r="G16" s="16"/>
    </row>
    <row r="17" spans="1:7" ht="96" customHeight="1" x14ac:dyDescent="0.3">
      <c r="A17" s="17">
        <v>14</v>
      </c>
      <c r="B17" s="18">
        <f t="shared" si="0"/>
        <v>46334</v>
      </c>
      <c r="C17" s="19" t="s">
        <v>60</v>
      </c>
      <c r="D17" s="19" t="s">
        <v>61</v>
      </c>
      <c r="E17" s="20">
        <v>2</v>
      </c>
      <c r="F17" s="20" t="s">
        <v>41</v>
      </c>
      <c r="G17" s="21"/>
    </row>
    <row r="18" spans="1:7" ht="79.5" customHeight="1" x14ac:dyDescent="0.3">
      <c r="A18" s="12">
        <v>15</v>
      </c>
      <c r="B18" s="13">
        <f t="shared" si="0"/>
        <v>46335</v>
      </c>
      <c r="C18" s="14" t="s">
        <v>16</v>
      </c>
      <c r="D18" s="14" t="s">
        <v>62</v>
      </c>
      <c r="E18" s="15">
        <v>2</v>
      </c>
      <c r="F18" s="15" t="s">
        <v>41</v>
      </c>
      <c r="G18" s="16"/>
    </row>
    <row r="19" spans="1:7" ht="79.5" customHeight="1" x14ac:dyDescent="0.3">
      <c r="A19" s="12">
        <v>16</v>
      </c>
      <c r="B19" s="13">
        <f t="shared" si="0"/>
        <v>46336</v>
      </c>
      <c r="C19" s="14" t="s">
        <v>17</v>
      </c>
      <c r="D19" s="14" t="s">
        <v>63</v>
      </c>
      <c r="E19" s="15">
        <v>2</v>
      </c>
      <c r="F19" s="15" t="s">
        <v>41</v>
      </c>
      <c r="G19" s="16"/>
    </row>
    <row r="20" spans="1:7" ht="79.5" customHeight="1" x14ac:dyDescent="0.3">
      <c r="A20" s="12">
        <v>17</v>
      </c>
      <c r="B20" s="13">
        <f t="shared" si="0"/>
        <v>46337</v>
      </c>
      <c r="C20" s="14" t="s">
        <v>17</v>
      </c>
      <c r="D20" s="14" t="s">
        <v>64</v>
      </c>
      <c r="E20" s="15">
        <v>2</v>
      </c>
      <c r="F20" s="15" t="s">
        <v>41</v>
      </c>
      <c r="G20" s="16"/>
    </row>
    <row r="21" spans="1:7" ht="79.5" customHeight="1" x14ac:dyDescent="0.3">
      <c r="A21" s="12">
        <v>18</v>
      </c>
      <c r="B21" s="13">
        <f t="shared" si="0"/>
        <v>46338</v>
      </c>
      <c r="C21" s="14" t="s">
        <v>17</v>
      </c>
      <c r="D21" s="14" t="s">
        <v>65</v>
      </c>
      <c r="E21" s="15">
        <v>2</v>
      </c>
      <c r="F21" s="15" t="s">
        <v>41</v>
      </c>
      <c r="G21" s="16"/>
    </row>
    <row r="22" spans="1:7" ht="79.5" customHeight="1" x14ac:dyDescent="0.3">
      <c r="A22" s="12">
        <v>19</v>
      </c>
      <c r="B22" s="13">
        <f t="shared" si="0"/>
        <v>46339</v>
      </c>
      <c r="C22" s="14" t="s">
        <v>66</v>
      </c>
      <c r="D22" s="14" t="s">
        <v>67</v>
      </c>
      <c r="E22" s="15">
        <v>2</v>
      </c>
      <c r="F22" s="15" t="s">
        <v>41</v>
      </c>
      <c r="G22" s="16"/>
    </row>
    <row r="23" spans="1:7" ht="79.5" customHeight="1" x14ac:dyDescent="0.3">
      <c r="A23" s="12">
        <v>20</v>
      </c>
      <c r="B23" s="13">
        <f t="shared" si="0"/>
        <v>46340</v>
      </c>
      <c r="C23" s="14" t="s">
        <v>18</v>
      </c>
      <c r="D23" s="14" t="s">
        <v>68</v>
      </c>
      <c r="E23" s="15">
        <v>2</v>
      </c>
      <c r="F23" s="15" t="s">
        <v>41</v>
      </c>
      <c r="G23" s="16"/>
    </row>
    <row r="24" spans="1:7" ht="96" customHeight="1" x14ac:dyDescent="0.3">
      <c r="A24" s="17">
        <v>21</v>
      </c>
      <c r="B24" s="18">
        <f t="shared" si="0"/>
        <v>46341</v>
      </c>
      <c r="C24" s="19" t="s">
        <v>69</v>
      </c>
      <c r="D24" s="19" t="s">
        <v>70</v>
      </c>
      <c r="E24" s="20">
        <v>2</v>
      </c>
      <c r="F24" s="20" t="s">
        <v>41</v>
      </c>
      <c r="G24" s="21"/>
    </row>
    <row r="25" spans="1:7" ht="79.5" customHeight="1" x14ac:dyDescent="0.3">
      <c r="A25" s="12">
        <v>22</v>
      </c>
      <c r="B25" s="13">
        <f t="shared" si="0"/>
        <v>46342</v>
      </c>
      <c r="C25" s="14" t="s">
        <v>18</v>
      </c>
      <c r="D25" s="14" t="s">
        <v>71</v>
      </c>
      <c r="E25" s="15">
        <v>2</v>
      </c>
      <c r="F25" s="15" t="s">
        <v>41</v>
      </c>
      <c r="G25" s="16"/>
    </row>
    <row r="26" spans="1:7" ht="79.5" customHeight="1" x14ac:dyDescent="0.3">
      <c r="A26" s="12">
        <v>23</v>
      </c>
      <c r="B26" s="13">
        <f t="shared" si="0"/>
        <v>46343</v>
      </c>
      <c r="C26" s="14" t="s">
        <v>18</v>
      </c>
      <c r="D26" s="14" t="s">
        <v>72</v>
      </c>
      <c r="E26" s="15">
        <v>2</v>
      </c>
      <c r="F26" s="15" t="s">
        <v>41</v>
      </c>
      <c r="G26" s="16"/>
    </row>
    <row r="27" spans="1:7" ht="79.5" customHeight="1" x14ac:dyDescent="0.3">
      <c r="A27" s="12">
        <v>24</v>
      </c>
      <c r="B27" s="13">
        <f t="shared" si="0"/>
        <v>46344</v>
      </c>
      <c r="C27" s="14" t="s">
        <v>73</v>
      </c>
      <c r="D27" s="14" t="s">
        <v>74</v>
      </c>
      <c r="E27" s="15">
        <v>2</v>
      </c>
      <c r="F27" s="15" t="s">
        <v>41</v>
      </c>
      <c r="G27" s="16"/>
    </row>
    <row r="28" spans="1:7" ht="79.5" customHeight="1" x14ac:dyDescent="0.3">
      <c r="A28" s="12">
        <v>25</v>
      </c>
      <c r="B28" s="13">
        <f t="shared" si="0"/>
        <v>46345</v>
      </c>
      <c r="C28" s="14" t="s">
        <v>75</v>
      </c>
      <c r="D28" s="14" t="s">
        <v>76</v>
      </c>
      <c r="E28" s="15">
        <v>2</v>
      </c>
      <c r="F28" s="15" t="s">
        <v>41</v>
      </c>
      <c r="G28" s="16"/>
    </row>
    <row r="29" spans="1:7" ht="79.5" customHeight="1" x14ac:dyDescent="0.3">
      <c r="A29" s="12">
        <v>26</v>
      </c>
      <c r="B29" s="13">
        <f t="shared" si="0"/>
        <v>46346</v>
      </c>
      <c r="C29" s="14" t="s">
        <v>20</v>
      </c>
      <c r="D29" s="14" t="s">
        <v>77</v>
      </c>
      <c r="E29" s="15">
        <v>2</v>
      </c>
      <c r="F29" s="15" t="s">
        <v>41</v>
      </c>
      <c r="G29" s="16"/>
    </row>
    <row r="30" spans="1:7" ht="79.5" customHeight="1" x14ac:dyDescent="0.3">
      <c r="A30" s="12">
        <v>27</v>
      </c>
      <c r="B30" s="13">
        <f t="shared" si="0"/>
        <v>46347</v>
      </c>
      <c r="C30" s="14" t="s">
        <v>20</v>
      </c>
      <c r="D30" s="14" t="s">
        <v>78</v>
      </c>
      <c r="E30" s="15">
        <v>2</v>
      </c>
      <c r="F30" s="15" t="s">
        <v>41</v>
      </c>
      <c r="G30" s="16"/>
    </row>
    <row r="31" spans="1:7" ht="96" customHeight="1" x14ac:dyDescent="0.3">
      <c r="A31" s="17">
        <v>28</v>
      </c>
      <c r="B31" s="18">
        <f t="shared" si="0"/>
        <v>46348</v>
      </c>
      <c r="C31" s="19" t="s">
        <v>79</v>
      </c>
      <c r="D31" s="19" t="s">
        <v>80</v>
      </c>
      <c r="E31" s="20">
        <v>2</v>
      </c>
      <c r="F31" s="20" t="s">
        <v>41</v>
      </c>
      <c r="G31" s="21"/>
    </row>
    <row r="32" spans="1:7" ht="79.5" customHeight="1" x14ac:dyDescent="0.3">
      <c r="A32" s="12">
        <v>29</v>
      </c>
      <c r="B32" s="13">
        <f t="shared" si="0"/>
        <v>46349</v>
      </c>
      <c r="C32" s="14" t="s">
        <v>21</v>
      </c>
      <c r="D32" s="14" t="s">
        <v>81</v>
      </c>
      <c r="E32" s="15">
        <v>2</v>
      </c>
      <c r="F32" s="15" t="s">
        <v>41</v>
      </c>
      <c r="G32" s="16"/>
    </row>
    <row r="33" spans="1:7" ht="79.5" customHeight="1" x14ac:dyDescent="0.3">
      <c r="A33" s="12">
        <v>30</v>
      </c>
      <c r="B33" s="13">
        <f t="shared" si="0"/>
        <v>46350</v>
      </c>
      <c r="C33" s="14" t="s">
        <v>21</v>
      </c>
      <c r="D33" s="14" t="s">
        <v>82</v>
      </c>
      <c r="E33" s="15">
        <v>2</v>
      </c>
      <c r="F33" s="15" t="s">
        <v>41</v>
      </c>
      <c r="G33" s="16"/>
    </row>
    <row r="34" spans="1:7" ht="79.5" customHeight="1" x14ac:dyDescent="0.3">
      <c r="A34" s="12">
        <v>31</v>
      </c>
      <c r="B34" s="13">
        <f t="shared" si="0"/>
        <v>46351</v>
      </c>
      <c r="C34" s="14" t="s">
        <v>83</v>
      </c>
      <c r="D34" s="14" t="s">
        <v>84</v>
      </c>
      <c r="E34" s="15">
        <v>2</v>
      </c>
      <c r="F34" s="15" t="s">
        <v>41</v>
      </c>
      <c r="G34" s="16"/>
    </row>
    <row r="35" spans="1:7" ht="79.5" customHeight="1" x14ac:dyDescent="0.3">
      <c r="A35" s="12">
        <v>32</v>
      </c>
      <c r="B35" s="13">
        <f t="shared" si="0"/>
        <v>46352</v>
      </c>
      <c r="C35" s="14" t="s">
        <v>22</v>
      </c>
      <c r="D35" s="14" t="s">
        <v>85</v>
      </c>
      <c r="E35" s="15">
        <v>2</v>
      </c>
      <c r="F35" s="15" t="s">
        <v>41</v>
      </c>
      <c r="G35" s="16"/>
    </row>
    <row r="36" spans="1:7" ht="79.5" customHeight="1" x14ac:dyDescent="0.3">
      <c r="A36" s="12">
        <v>33</v>
      </c>
      <c r="B36" s="13">
        <f t="shared" ref="B36:B57" si="1">$C$1+A36-1</f>
        <v>46353</v>
      </c>
      <c r="C36" s="14" t="s">
        <v>22</v>
      </c>
      <c r="D36" s="14" t="s">
        <v>86</v>
      </c>
      <c r="E36" s="15">
        <v>2</v>
      </c>
      <c r="F36" s="15" t="s">
        <v>41</v>
      </c>
      <c r="G36" s="16"/>
    </row>
    <row r="37" spans="1:7" ht="79.5" customHeight="1" x14ac:dyDescent="0.3">
      <c r="A37" s="12">
        <v>34</v>
      </c>
      <c r="B37" s="13">
        <f t="shared" si="1"/>
        <v>46354</v>
      </c>
      <c r="C37" s="14" t="s">
        <v>22</v>
      </c>
      <c r="D37" s="14" t="s">
        <v>87</v>
      </c>
      <c r="E37" s="15">
        <v>2</v>
      </c>
      <c r="F37" s="15" t="s">
        <v>41</v>
      </c>
      <c r="G37" s="16"/>
    </row>
    <row r="38" spans="1:7" ht="96" customHeight="1" x14ac:dyDescent="0.3">
      <c r="A38" s="17">
        <v>35</v>
      </c>
      <c r="B38" s="18">
        <f t="shared" si="1"/>
        <v>46355</v>
      </c>
      <c r="C38" s="19" t="s">
        <v>88</v>
      </c>
      <c r="D38" s="19" t="s">
        <v>89</v>
      </c>
      <c r="E38" s="20">
        <v>2</v>
      </c>
      <c r="F38" s="20" t="s">
        <v>41</v>
      </c>
      <c r="G38" s="21"/>
    </row>
    <row r="39" spans="1:7" ht="79.5" customHeight="1" x14ac:dyDescent="0.3">
      <c r="A39" s="12">
        <v>36</v>
      </c>
      <c r="B39" s="13">
        <f t="shared" si="1"/>
        <v>46356</v>
      </c>
      <c r="C39" s="14" t="s">
        <v>23</v>
      </c>
      <c r="D39" s="14" t="s">
        <v>90</v>
      </c>
      <c r="E39" s="15">
        <v>2</v>
      </c>
      <c r="F39" s="15" t="s">
        <v>41</v>
      </c>
      <c r="G39" s="16"/>
    </row>
    <row r="40" spans="1:7" ht="79.5" customHeight="1" x14ac:dyDescent="0.3">
      <c r="A40" s="12">
        <v>37</v>
      </c>
      <c r="B40" s="13">
        <f t="shared" si="1"/>
        <v>46357</v>
      </c>
      <c r="C40" s="14" t="s">
        <v>91</v>
      </c>
      <c r="D40" s="14" t="s">
        <v>92</v>
      </c>
      <c r="E40" s="15">
        <v>2</v>
      </c>
      <c r="F40" s="15" t="s">
        <v>41</v>
      </c>
      <c r="G40" s="16"/>
    </row>
    <row r="41" spans="1:7" ht="79.5" customHeight="1" x14ac:dyDescent="0.3">
      <c r="A41" s="12">
        <v>38</v>
      </c>
      <c r="B41" s="13">
        <f t="shared" si="1"/>
        <v>46358</v>
      </c>
      <c r="C41" s="14" t="s">
        <v>24</v>
      </c>
      <c r="D41" s="14" t="s">
        <v>93</v>
      </c>
      <c r="E41" s="15">
        <v>2</v>
      </c>
      <c r="F41" s="15" t="s">
        <v>41</v>
      </c>
      <c r="G41" s="16"/>
    </row>
    <row r="42" spans="1:7" ht="79.5" customHeight="1" x14ac:dyDescent="0.3">
      <c r="A42" s="12">
        <v>39</v>
      </c>
      <c r="B42" s="13">
        <f t="shared" si="1"/>
        <v>46359</v>
      </c>
      <c r="C42" s="14" t="s">
        <v>24</v>
      </c>
      <c r="D42" s="14" t="s">
        <v>94</v>
      </c>
      <c r="E42" s="15">
        <v>2</v>
      </c>
      <c r="F42" s="15" t="s">
        <v>41</v>
      </c>
      <c r="G42" s="16"/>
    </row>
    <row r="43" spans="1:7" ht="79.5" customHeight="1" x14ac:dyDescent="0.3">
      <c r="A43" s="12">
        <v>40</v>
      </c>
      <c r="B43" s="13">
        <f t="shared" si="1"/>
        <v>46360</v>
      </c>
      <c r="C43" s="14" t="s">
        <v>24</v>
      </c>
      <c r="D43" s="14" t="s">
        <v>95</v>
      </c>
      <c r="E43" s="15">
        <v>2</v>
      </c>
      <c r="F43" s="15" t="s">
        <v>41</v>
      </c>
      <c r="G43" s="16"/>
    </row>
    <row r="44" spans="1:7" ht="79.5" customHeight="1" x14ac:dyDescent="0.3">
      <c r="A44" s="12">
        <v>41</v>
      </c>
      <c r="B44" s="13">
        <f t="shared" si="1"/>
        <v>46361</v>
      </c>
      <c r="C44" s="14" t="s">
        <v>96</v>
      </c>
      <c r="D44" s="14" t="s">
        <v>97</v>
      </c>
      <c r="E44" s="15">
        <v>2</v>
      </c>
      <c r="F44" s="15" t="s">
        <v>41</v>
      </c>
      <c r="G44" s="16"/>
    </row>
    <row r="45" spans="1:7" ht="96" customHeight="1" x14ac:dyDescent="0.3">
      <c r="A45" s="17">
        <v>42</v>
      </c>
      <c r="B45" s="18">
        <f t="shared" si="1"/>
        <v>46362</v>
      </c>
      <c r="C45" s="19" t="s">
        <v>98</v>
      </c>
      <c r="D45" s="19" t="s">
        <v>99</v>
      </c>
      <c r="E45" s="20">
        <v>2</v>
      </c>
      <c r="F45" s="20" t="s">
        <v>41</v>
      </c>
      <c r="G45" s="21"/>
    </row>
    <row r="46" spans="1:7" ht="79.5" customHeight="1" x14ac:dyDescent="0.3">
      <c r="A46" s="12">
        <v>43</v>
      </c>
      <c r="B46" s="13">
        <f t="shared" si="1"/>
        <v>46363</v>
      </c>
      <c r="C46" s="14" t="s">
        <v>25</v>
      </c>
      <c r="D46" s="14" t="s">
        <v>100</v>
      </c>
      <c r="E46" s="15">
        <v>2</v>
      </c>
      <c r="F46" s="15" t="s">
        <v>41</v>
      </c>
      <c r="G46" s="16"/>
    </row>
    <row r="47" spans="1:7" ht="79.5" customHeight="1" x14ac:dyDescent="0.3">
      <c r="A47" s="12">
        <v>44</v>
      </c>
      <c r="B47" s="13">
        <f t="shared" si="1"/>
        <v>46364</v>
      </c>
      <c r="C47" s="14" t="s">
        <v>25</v>
      </c>
      <c r="D47" s="14" t="s">
        <v>101</v>
      </c>
      <c r="E47" s="15">
        <v>2</v>
      </c>
      <c r="F47" s="15" t="s">
        <v>41</v>
      </c>
      <c r="G47" s="16"/>
    </row>
    <row r="48" spans="1:7" ht="79.5" customHeight="1" x14ac:dyDescent="0.3">
      <c r="A48" s="12">
        <v>45</v>
      </c>
      <c r="B48" s="13">
        <f t="shared" si="1"/>
        <v>46365</v>
      </c>
      <c r="C48" s="14" t="s">
        <v>102</v>
      </c>
      <c r="D48" s="14" t="s">
        <v>103</v>
      </c>
      <c r="E48" s="15">
        <v>2</v>
      </c>
      <c r="F48" s="15" t="s">
        <v>41</v>
      </c>
      <c r="G48" s="16"/>
    </row>
    <row r="49" spans="1:7" ht="79.5" customHeight="1" x14ac:dyDescent="0.3">
      <c r="A49" s="12">
        <v>46</v>
      </c>
      <c r="B49" s="13">
        <f t="shared" si="1"/>
        <v>46366</v>
      </c>
      <c r="C49" s="14" t="s">
        <v>26</v>
      </c>
      <c r="D49" s="14" t="s">
        <v>104</v>
      </c>
      <c r="E49" s="15">
        <v>2</v>
      </c>
      <c r="F49" s="15" t="s">
        <v>41</v>
      </c>
      <c r="G49" s="16"/>
    </row>
    <row r="50" spans="1:7" ht="79.5" customHeight="1" x14ac:dyDescent="0.3">
      <c r="A50" s="12">
        <v>47</v>
      </c>
      <c r="B50" s="13">
        <f t="shared" si="1"/>
        <v>46367</v>
      </c>
      <c r="C50" s="14" t="s">
        <v>26</v>
      </c>
      <c r="D50" s="14" t="s">
        <v>105</v>
      </c>
      <c r="E50" s="15">
        <v>2</v>
      </c>
      <c r="F50" s="15" t="s">
        <v>41</v>
      </c>
      <c r="G50" s="16"/>
    </row>
    <row r="51" spans="1:7" ht="79.5" customHeight="1" x14ac:dyDescent="0.3">
      <c r="A51" s="12">
        <v>48</v>
      </c>
      <c r="B51" s="13">
        <f t="shared" si="1"/>
        <v>46368</v>
      </c>
      <c r="C51" s="14" t="s">
        <v>27</v>
      </c>
      <c r="D51" s="14" t="s">
        <v>106</v>
      </c>
      <c r="E51" s="15">
        <v>2</v>
      </c>
      <c r="F51" s="15" t="s">
        <v>41</v>
      </c>
      <c r="G51" s="16"/>
    </row>
    <row r="52" spans="1:7" ht="96" customHeight="1" x14ac:dyDescent="0.3">
      <c r="A52" s="17">
        <v>49</v>
      </c>
      <c r="B52" s="18">
        <f t="shared" si="1"/>
        <v>46369</v>
      </c>
      <c r="C52" s="19" t="s">
        <v>107</v>
      </c>
      <c r="D52" s="19" t="s">
        <v>108</v>
      </c>
      <c r="E52" s="20">
        <v>2</v>
      </c>
      <c r="F52" s="20" t="s">
        <v>41</v>
      </c>
      <c r="G52" s="21"/>
    </row>
    <row r="53" spans="1:7" ht="79.5" customHeight="1" x14ac:dyDescent="0.3">
      <c r="A53" s="12">
        <v>50</v>
      </c>
      <c r="B53" s="13">
        <f t="shared" si="1"/>
        <v>46370</v>
      </c>
      <c r="C53" s="14" t="s">
        <v>28</v>
      </c>
      <c r="D53" s="14" t="s">
        <v>109</v>
      </c>
      <c r="E53" s="15">
        <v>2</v>
      </c>
      <c r="F53" s="15" t="s">
        <v>41</v>
      </c>
      <c r="G53" s="16"/>
    </row>
    <row r="54" spans="1:7" ht="79.5" customHeight="1" x14ac:dyDescent="0.3">
      <c r="A54" s="12">
        <v>51</v>
      </c>
      <c r="B54" s="13">
        <f t="shared" si="1"/>
        <v>46371</v>
      </c>
      <c r="C54" s="14" t="s">
        <v>28</v>
      </c>
      <c r="D54" s="14" t="s">
        <v>110</v>
      </c>
      <c r="E54" s="15">
        <v>2</v>
      </c>
      <c r="F54" s="15" t="s">
        <v>41</v>
      </c>
      <c r="G54" s="16"/>
    </row>
    <row r="55" spans="1:7" ht="79.5" customHeight="1" x14ac:dyDescent="0.3">
      <c r="A55" s="12">
        <v>52</v>
      </c>
      <c r="B55" s="13">
        <f t="shared" si="1"/>
        <v>46372</v>
      </c>
      <c r="C55" s="14" t="s">
        <v>111</v>
      </c>
      <c r="D55" s="14" t="s">
        <v>112</v>
      </c>
      <c r="E55" s="15">
        <v>2</v>
      </c>
      <c r="F55" s="15" t="s">
        <v>41</v>
      </c>
      <c r="G55" s="16"/>
    </row>
    <row r="56" spans="1:7" ht="79.5" customHeight="1" x14ac:dyDescent="0.3">
      <c r="A56" s="12">
        <v>53</v>
      </c>
      <c r="B56" s="13">
        <f t="shared" si="1"/>
        <v>46373</v>
      </c>
      <c r="C56" s="14" t="s">
        <v>29</v>
      </c>
      <c r="D56" s="14" t="s">
        <v>113</v>
      </c>
      <c r="E56" s="15">
        <v>2</v>
      </c>
      <c r="F56" s="15" t="s">
        <v>41</v>
      </c>
      <c r="G56" s="16"/>
    </row>
    <row r="57" spans="1:7" ht="79.5" customHeight="1" x14ac:dyDescent="0.3">
      <c r="A57" s="12">
        <v>54</v>
      </c>
      <c r="B57" s="13">
        <f t="shared" si="1"/>
        <v>46374</v>
      </c>
      <c r="C57" s="14" t="s">
        <v>29</v>
      </c>
      <c r="D57" s="14" t="s">
        <v>114</v>
      </c>
      <c r="E57" s="15">
        <v>2</v>
      </c>
      <c r="F57" s="15" t="s">
        <v>41</v>
      </c>
      <c r="G57" s="16"/>
    </row>
    <row r="59" spans="1:7" x14ac:dyDescent="0.3">
      <c r="A59" s="9" t="s">
        <v>115</v>
      </c>
    </row>
  </sheetData>
  <conditionalFormatting sqref="F4:F57">
    <cfRule type="cellIs" dxfId="5" priority="2" operator="equal">
      <formula>"Yes"</formula>
    </cfRule>
    <cfRule type="cellIs" dxfId="4" priority="3" operator="equal">
      <formula>"No"</formula>
    </cfRule>
  </conditionalFormatting>
  <dataValidations count="1">
    <dataValidation type="list" sqref="F4:F57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20" customWidth="1"/>
    <col min="3" max="3" width="48" customWidth="1"/>
    <col min="4" max="4" width="11" customWidth="1"/>
    <col min="5" max="5" width="12" customWidth="1"/>
    <col min="6" max="6" width="16" customWidth="1"/>
    <col min="7" max="7" width="14" customWidth="1"/>
    <col min="8" max="9" width="10" customWidth="1"/>
    <col min="10" max="10" width="14" customWidth="1"/>
    <col min="11" max="11" width="50" customWidth="1"/>
  </cols>
  <sheetData>
    <row r="1" spans="1:11" ht="30" customHeight="1" x14ac:dyDescent="0.3">
      <c r="A1" s="22" t="s">
        <v>116</v>
      </c>
      <c r="B1" s="22" t="s">
        <v>7</v>
      </c>
      <c r="C1" s="22" t="s">
        <v>117</v>
      </c>
      <c r="D1" s="22" t="s">
        <v>118</v>
      </c>
      <c r="E1" s="22" t="s">
        <v>119</v>
      </c>
      <c r="F1" s="22" t="s">
        <v>120</v>
      </c>
      <c r="G1" s="22" t="s">
        <v>121</v>
      </c>
      <c r="H1" s="22" t="s">
        <v>122</v>
      </c>
      <c r="I1" s="22" t="s">
        <v>123</v>
      </c>
      <c r="J1" s="22" t="s">
        <v>124</v>
      </c>
      <c r="K1" s="22" t="s">
        <v>125</v>
      </c>
    </row>
    <row r="2" spans="1:11" x14ac:dyDescent="0.3">
      <c r="A2" s="23">
        <v>1</v>
      </c>
      <c r="B2" s="24" t="s">
        <v>12</v>
      </c>
      <c r="C2" s="24" t="s">
        <v>126</v>
      </c>
      <c r="D2" s="23" t="s">
        <v>127</v>
      </c>
      <c r="E2" s="23">
        <v>5</v>
      </c>
      <c r="F2" s="25" t="s">
        <v>128</v>
      </c>
      <c r="G2" s="25" t="s">
        <v>41</v>
      </c>
      <c r="H2" s="25">
        <v>1</v>
      </c>
      <c r="I2" s="23" t="str">
        <f t="shared" ref="I2:I33" si="0">IF(G2="Yes","REVISE","")</f>
        <v/>
      </c>
      <c r="J2" s="26"/>
      <c r="K2" s="27"/>
    </row>
    <row r="3" spans="1:11" x14ac:dyDescent="0.3">
      <c r="A3" s="23">
        <v>2</v>
      </c>
      <c r="B3" s="24" t="s">
        <v>12</v>
      </c>
      <c r="C3" s="24" t="s">
        <v>129</v>
      </c>
      <c r="D3" s="23" t="s">
        <v>127</v>
      </c>
      <c r="E3" s="23">
        <v>5</v>
      </c>
      <c r="F3" s="25" t="s">
        <v>128</v>
      </c>
      <c r="G3" s="25" t="s">
        <v>41</v>
      </c>
      <c r="H3" s="25">
        <v>1</v>
      </c>
      <c r="I3" s="23" t="str">
        <f t="shared" si="0"/>
        <v/>
      </c>
      <c r="J3" s="26"/>
      <c r="K3" s="27"/>
    </row>
    <row r="4" spans="1:11" x14ac:dyDescent="0.3">
      <c r="A4" s="23">
        <v>3</v>
      </c>
      <c r="B4" s="24" t="s">
        <v>12</v>
      </c>
      <c r="C4" s="24" t="s">
        <v>130</v>
      </c>
      <c r="D4" s="23" t="s">
        <v>127</v>
      </c>
      <c r="E4" s="23">
        <v>5</v>
      </c>
      <c r="F4" s="25" t="s">
        <v>128</v>
      </c>
      <c r="G4" s="25" t="s">
        <v>41</v>
      </c>
      <c r="H4" s="25">
        <v>1</v>
      </c>
      <c r="I4" s="23" t="str">
        <f t="shared" si="0"/>
        <v/>
      </c>
      <c r="J4" s="26"/>
      <c r="K4" s="27"/>
    </row>
    <row r="5" spans="1:11" x14ac:dyDescent="0.3">
      <c r="A5" s="23">
        <v>4</v>
      </c>
      <c r="B5" s="24" t="s">
        <v>12</v>
      </c>
      <c r="C5" s="24" t="s">
        <v>131</v>
      </c>
      <c r="D5" s="23" t="s">
        <v>132</v>
      </c>
      <c r="E5" s="23">
        <v>6</v>
      </c>
      <c r="F5" s="25" t="s">
        <v>128</v>
      </c>
      <c r="G5" s="25" t="s">
        <v>41</v>
      </c>
      <c r="H5" s="25">
        <v>1</v>
      </c>
      <c r="I5" s="23" t="str">
        <f t="shared" si="0"/>
        <v/>
      </c>
      <c r="J5" s="26"/>
      <c r="K5" s="27"/>
    </row>
    <row r="6" spans="1:11" x14ac:dyDescent="0.3">
      <c r="A6" s="23">
        <v>5</v>
      </c>
      <c r="B6" s="24" t="s">
        <v>12</v>
      </c>
      <c r="C6" s="24" t="s">
        <v>133</v>
      </c>
      <c r="D6" s="23" t="s">
        <v>132</v>
      </c>
      <c r="E6" s="23">
        <v>6</v>
      </c>
      <c r="F6" s="25" t="s">
        <v>128</v>
      </c>
      <c r="G6" s="25" t="s">
        <v>41</v>
      </c>
      <c r="H6" s="25">
        <v>1</v>
      </c>
      <c r="I6" s="23" t="str">
        <f t="shared" si="0"/>
        <v/>
      </c>
      <c r="J6" s="26"/>
      <c r="K6" s="27"/>
    </row>
    <row r="7" spans="1:11" x14ac:dyDescent="0.3">
      <c r="A7" s="23">
        <v>6</v>
      </c>
      <c r="B7" s="24" t="s">
        <v>12</v>
      </c>
      <c r="C7" s="24" t="s">
        <v>134</v>
      </c>
      <c r="D7" s="23" t="s">
        <v>132</v>
      </c>
      <c r="E7" s="23">
        <v>6</v>
      </c>
      <c r="F7" s="25" t="s">
        <v>128</v>
      </c>
      <c r="G7" s="25" t="s">
        <v>41</v>
      </c>
      <c r="H7" s="25">
        <v>1</v>
      </c>
      <c r="I7" s="23" t="str">
        <f t="shared" si="0"/>
        <v/>
      </c>
      <c r="J7" s="26"/>
      <c r="K7" s="27"/>
    </row>
    <row r="8" spans="1:11" x14ac:dyDescent="0.3">
      <c r="A8" s="23">
        <v>7</v>
      </c>
      <c r="B8" s="24" t="s">
        <v>12</v>
      </c>
      <c r="C8" s="24" t="s">
        <v>135</v>
      </c>
      <c r="D8" s="23" t="s">
        <v>132</v>
      </c>
      <c r="E8" s="23">
        <v>7</v>
      </c>
      <c r="F8" s="25" t="s">
        <v>128</v>
      </c>
      <c r="G8" s="25" t="s">
        <v>41</v>
      </c>
      <c r="H8" s="25">
        <v>1</v>
      </c>
      <c r="I8" s="23" t="str">
        <f t="shared" si="0"/>
        <v/>
      </c>
      <c r="J8" s="26"/>
      <c r="K8" s="27"/>
    </row>
    <row r="9" spans="1:11" x14ac:dyDescent="0.3">
      <c r="A9" s="23">
        <v>8</v>
      </c>
      <c r="B9" s="24" t="s">
        <v>12</v>
      </c>
      <c r="C9" s="24" t="s">
        <v>136</v>
      </c>
      <c r="D9" s="23" t="s">
        <v>132</v>
      </c>
      <c r="E9" s="23">
        <v>7</v>
      </c>
      <c r="F9" s="25" t="s">
        <v>128</v>
      </c>
      <c r="G9" s="25" t="s">
        <v>41</v>
      </c>
      <c r="H9" s="25">
        <v>1</v>
      </c>
      <c r="I9" s="23" t="str">
        <f t="shared" si="0"/>
        <v/>
      </c>
      <c r="J9" s="26"/>
      <c r="K9" s="27"/>
    </row>
    <row r="10" spans="1:11" x14ac:dyDescent="0.3">
      <c r="A10" s="23">
        <v>9</v>
      </c>
      <c r="B10" s="24" t="s">
        <v>12</v>
      </c>
      <c r="C10" s="24" t="s">
        <v>137</v>
      </c>
      <c r="D10" s="23" t="s">
        <v>132</v>
      </c>
      <c r="E10" s="23">
        <v>7</v>
      </c>
      <c r="F10" s="25" t="s">
        <v>128</v>
      </c>
      <c r="G10" s="25" t="s">
        <v>41</v>
      </c>
      <c r="H10" s="25">
        <v>1</v>
      </c>
      <c r="I10" s="23" t="str">
        <f t="shared" si="0"/>
        <v/>
      </c>
      <c r="J10" s="26"/>
      <c r="K10" s="27"/>
    </row>
    <row r="11" spans="1:11" x14ac:dyDescent="0.3">
      <c r="A11" s="23">
        <v>10</v>
      </c>
      <c r="B11" s="24" t="s">
        <v>13</v>
      </c>
      <c r="C11" s="24" t="s">
        <v>138</v>
      </c>
      <c r="D11" s="23" t="s">
        <v>127</v>
      </c>
      <c r="E11" s="23">
        <v>8</v>
      </c>
      <c r="F11" s="25" t="s">
        <v>128</v>
      </c>
      <c r="G11" s="25" t="s">
        <v>41</v>
      </c>
      <c r="H11" s="25">
        <v>1</v>
      </c>
      <c r="I11" s="23" t="str">
        <f t="shared" si="0"/>
        <v/>
      </c>
      <c r="J11" s="26"/>
      <c r="K11" s="27"/>
    </row>
    <row r="12" spans="1:11" x14ac:dyDescent="0.3">
      <c r="A12" s="23">
        <v>11</v>
      </c>
      <c r="B12" s="24" t="s">
        <v>13</v>
      </c>
      <c r="C12" s="24" t="s">
        <v>139</v>
      </c>
      <c r="D12" s="23" t="s">
        <v>132</v>
      </c>
      <c r="E12" s="23">
        <v>8</v>
      </c>
      <c r="F12" s="25" t="s">
        <v>128</v>
      </c>
      <c r="G12" s="25" t="s">
        <v>41</v>
      </c>
      <c r="H12" s="25">
        <v>1</v>
      </c>
      <c r="I12" s="23" t="str">
        <f t="shared" si="0"/>
        <v/>
      </c>
      <c r="J12" s="26"/>
      <c r="K12" s="27"/>
    </row>
    <row r="13" spans="1:11" x14ac:dyDescent="0.3">
      <c r="A13" s="23">
        <v>12</v>
      </c>
      <c r="B13" s="24" t="s">
        <v>13</v>
      </c>
      <c r="C13" s="24" t="s">
        <v>140</v>
      </c>
      <c r="D13" s="23" t="s">
        <v>132</v>
      </c>
      <c r="E13" s="23">
        <v>8</v>
      </c>
      <c r="F13" s="25" t="s">
        <v>128</v>
      </c>
      <c r="G13" s="25" t="s">
        <v>41</v>
      </c>
      <c r="H13" s="25">
        <v>1</v>
      </c>
      <c r="I13" s="23" t="str">
        <f t="shared" si="0"/>
        <v/>
      </c>
      <c r="J13" s="26"/>
      <c r="K13" s="27"/>
    </row>
    <row r="14" spans="1:11" x14ac:dyDescent="0.3">
      <c r="A14" s="23">
        <v>13</v>
      </c>
      <c r="B14" s="24" t="s">
        <v>13</v>
      </c>
      <c r="C14" s="24" t="s">
        <v>141</v>
      </c>
      <c r="D14" s="23" t="s">
        <v>132</v>
      </c>
      <c r="E14" s="23">
        <v>9</v>
      </c>
      <c r="F14" s="25" t="s">
        <v>128</v>
      </c>
      <c r="G14" s="25" t="s">
        <v>41</v>
      </c>
      <c r="H14" s="25">
        <v>1</v>
      </c>
      <c r="I14" s="23" t="str">
        <f t="shared" si="0"/>
        <v/>
      </c>
      <c r="J14" s="26"/>
      <c r="K14" s="27"/>
    </row>
    <row r="15" spans="1:11" x14ac:dyDescent="0.3">
      <c r="A15" s="23">
        <v>14</v>
      </c>
      <c r="B15" s="24" t="s">
        <v>13</v>
      </c>
      <c r="C15" s="24" t="s">
        <v>142</v>
      </c>
      <c r="D15" s="23" t="s">
        <v>143</v>
      </c>
      <c r="E15" s="23">
        <v>9</v>
      </c>
      <c r="F15" s="25" t="s">
        <v>128</v>
      </c>
      <c r="G15" s="25" t="s">
        <v>41</v>
      </c>
      <c r="H15" s="25">
        <v>1</v>
      </c>
      <c r="I15" s="23" t="str">
        <f t="shared" si="0"/>
        <v/>
      </c>
      <c r="J15" s="26"/>
      <c r="K15" s="27"/>
    </row>
    <row r="16" spans="1:11" x14ac:dyDescent="0.3">
      <c r="A16" s="23">
        <v>15</v>
      </c>
      <c r="B16" s="24" t="s">
        <v>14</v>
      </c>
      <c r="C16" s="24" t="s">
        <v>144</v>
      </c>
      <c r="D16" s="23" t="s">
        <v>127</v>
      </c>
      <c r="E16" s="23">
        <v>9</v>
      </c>
      <c r="F16" s="25" t="s">
        <v>128</v>
      </c>
      <c r="G16" s="25" t="s">
        <v>41</v>
      </c>
      <c r="H16" s="25">
        <v>1</v>
      </c>
      <c r="I16" s="23" t="str">
        <f t="shared" si="0"/>
        <v/>
      </c>
      <c r="J16" s="26"/>
      <c r="K16" s="27"/>
    </row>
    <row r="17" spans="1:11" x14ac:dyDescent="0.3">
      <c r="A17" s="23">
        <v>16</v>
      </c>
      <c r="B17" s="24" t="s">
        <v>14</v>
      </c>
      <c r="C17" s="24" t="s">
        <v>145</v>
      </c>
      <c r="D17" s="23" t="s">
        <v>132</v>
      </c>
      <c r="E17" s="23">
        <v>10</v>
      </c>
      <c r="F17" s="25" t="s">
        <v>128</v>
      </c>
      <c r="G17" s="25" t="s">
        <v>41</v>
      </c>
      <c r="H17" s="25">
        <v>1</v>
      </c>
      <c r="I17" s="23" t="str">
        <f t="shared" si="0"/>
        <v/>
      </c>
      <c r="J17" s="26"/>
      <c r="K17" s="27"/>
    </row>
    <row r="18" spans="1:11" x14ac:dyDescent="0.3">
      <c r="A18" s="23">
        <v>17</v>
      </c>
      <c r="B18" s="24" t="s">
        <v>14</v>
      </c>
      <c r="C18" s="24" t="s">
        <v>146</v>
      </c>
      <c r="D18" s="23" t="s">
        <v>132</v>
      </c>
      <c r="E18" s="23">
        <v>10</v>
      </c>
      <c r="F18" s="25" t="s">
        <v>128</v>
      </c>
      <c r="G18" s="25" t="s">
        <v>41</v>
      </c>
      <c r="H18" s="25">
        <v>1</v>
      </c>
      <c r="I18" s="23" t="str">
        <f t="shared" si="0"/>
        <v/>
      </c>
      <c r="J18" s="26"/>
      <c r="K18" s="27"/>
    </row>
    <row r="19" spans="1:11" x14ac:dyDescent="0.3">
      <c r="A19" s="23">
        <v>18</v>
      </c>
      <c r="B19" s="24" t="s">
        <v>14</v>
      </c>
      <c r="C19" s="24" t="s">
        <v>147</v>
      </c>
      <c r="D19" s="23" t="s">
        <v>132</v>
      </c>
      <c r="E19" s="23">
        <v>10</v>
      </c>
      <c r="F19" s="25" t="s">
        <v>128</v>
      </c>
      <c r="G19" s="25" t="s">
        <v>41</v>
      </c>
      <c r="H19" s="25">
        <v>1</v>
      </c>
      <c r="I19" s="23" t="str">
        <f t="shared" si="0"/>
        <v/>
      </c>
      <c r="J19" s="26"/>
      <c r="K19" s="27"/>
    </row>
    <row r="20" spans="1:11" x14ac:dyDescent="0.3">
      <c r="A20" s="23">
        <v>19</v>
      </c>
      <c r="B20" s="24" t="s">
        <v>14</v>
      </c>
      <c r="C20" s="24" t="s">
        <v>148</v>
      </c>
      <c r="D20" s="23" t="s">
        <v>132</v>
      </c>
      <c r="E20" s="23">
        <v>11</v>
      </c>
      <c r="F20" s="25" t="s">
        <v>128</v>
      </c>
      <c r="G20" s="25" t="s">
        <v>41</v>
      </c>
      <c r="H20" s="25">
        <v>1</v>
      </c>
      <c r="I20" s="23" t="str">
        <f t="shared" si="0"/>
        <v/>
      </c>
      <c r="J20" s="26"/>
      <c r="K20" s="27"/>
    </row>
    <row r="21" spans="1:11" x14ac:dyDescent="0.3">
      <c r="A21" s="23">
        <v>20</v>
      </c>
      <c r="B21" s="24" t="s">
        <v>14</v>
      </c>
      <c r="C21" s="24" t="s">
        <v>149</v>
      </c>
      <c r="D21" s="23" t="s">
        <v>143</v>
      </c>
      <c r="E21" s="23">
        <v>11</v>
      </c>
      <c r="F21" s="25" t="s">
        <v>128</v>
      </c>
      <c r="G21" s="25" t="s">
        <v>41</v>
      </c>
      <c r="H21" s="25">
        <v>1</v>
      </c>
      <c r="I21" s="23" t="str">
        <f t="shared" si="0"/>
        <v/>
      </c>
      <c r="J21" s="26"/>
      <c r="K21" s="27"/>
    </row>
    <row r="22" spans="1:11" x14ac:dyDescent="0.3">
      <c r="A22" s="23">
        <v>21</v>
      </c>
      <c r="B22" s="24" t="s">
        <v>15</v>
      </c>
      <c r="C22" s="24" t="s">
        <v>15</v>
      </c>
      <c r="D22" s="23" t="s">
        <v>127</v>
      </c>
      <c r="E22" s="23">
        <v>11</v>
      </c>
      <c r="F22" s="25" t="s">
        <v>128</v>
      </c>
      <c r="G22" s="25" t="s">
        <v>41</v>
      </c>
      <c r="H22" s="25">
        <v>1</v>
      </c>
      <c r="I22" s="23" t="str">
        <f t="shared" si="0"/>
        <v/>
      </c>
      <c r="J22" s="26"/>
      <c r="K22" s="27"/>
    </row>
    <row r="23" spans="1:11" x14ac:dyDescent="0.3">
      <c r="A23" s="23">
        <v>22</v>
      </c>
      <c r="B23" s="24" t="s">
        <v>15</v>
      </c>
      <c r="C23" s="24" t="s">
        <v>150</v>
      </c>
      <c r="D23" s="23" t="s">
        <v>132</v>
      </c>
      <c r="E23" s="23">
        <v>12</v>
      </c>
      <c r="F23" s="25" t="s">
        <v>128</v>
      </c>
      <c r="G23" s="25" t="s">
        <v>41</v>
      </c>
      <c r="H23" s="25">
        <v>1</v>
      </c>
      <c r="I23" s="23" t="str">
        <f t="shared" si="0"/>
        <v/>
      </c>
      <c r="J23" s="26"/>
      <c r="K23" s="27"/>
    </row>
    <row r="24" spans="1:11" x14ac:dyDescent="0.3">
      <c r="A24" s="23">
        <v>23</v>
      </c>
      <c r="B24" s="24" t="s">
        <v>15</v>
      </c>
      <c r="C24" s="24" t="s">
        <v>151</v>
      </c>
      <c r="D24" s="23" t="s">
        <v>132</v>
      </c>
      <c r="E24" s="23">
        <v>12</v>
      </c>
      <c r="F24" s="25" t="s">
        <v>128</v>
      </c>
      <c r="G24" s="25" t="s">
        <v>41</v>
      </c>
      <c r="H24" s="25">
        <v>1</v>
      </c>
      <c r="I24" s="23" t="str">
        <f t="shared" si="0"/>
        <v/>
      </c>
      <c r="J24" s="26"/>
      <c r="K24" s="27"/>
    </row>
    <row r="25" spans="1:11" x14ac:dyDescent="0.3">
      <c r="A25" s="23">
        <v>24</v>
      </c>
      <c r="B25" s="24" t="s">
        <v>15</v>
      </c>
      <c r="C25" s="24" t="s">
        <v>152</v>
      </c>
      <c r="D25" s="23" t="s">
        <v>132</v>
      </c>
      <c r="E25" s="23">
        <v>12</v>
      </c>
      <c r="F25" s="25" t="s">
        <v>128</v>
      </c>
      <c r="G25" s="25" t="s">
        <v>41</v>
      </c>
      <c r="H25" s="25">
        <v>1</v>
      </c>
      <c r="I25" s="23" t="str">
        <f t="shared" si="0"/>
        <v/>
      </c>
      <c r="J25" s="26"/>
      <c r="K25" s="27"/>
    </row>
    <row r="26" spans="1:11" x14ac:dyDescent="0.3">
      <c r="A26" s="23">
        <v>25</v>
      </c>
      <c r="B26" s="24" t="s">
        <v>15</v>
      </c>
      <c r="C26" s="24" t="s">
        <v>153</v>
      </c>
      <c r="D26" s="23" t="s">
        <v>132</v>
      </c>
      <c r="E26" s="23">
        <v>13</v>
      </c>
      <c r="F26" s="25" t="s">
        <v>128</v>
      </c>
      <c r="G26" s="25" t="s">
        <v>41</v>
      </c>
      <c r="H26" s="25">
        <v>1</v>
      </c>
      <c r="I26" s="23" t="str">
        <f t="shared" si="0"/>
        <v/>
      </c>
      <c r="J26" s="26"/>
      <c r="K26" s="27"/>
    </row>
    <row r="27" spans="1:11" x14ac:dyDescent="0.3">
      <c r="A27" s="23">
        <v>26</v>
      </c>
      <c r="B27" s="24" t="s">
        <v>15</v>
      </c>
      <c r="C27" s="24" t="s">
        <v>154</v>
      </c>
      <c r="D27" s="23" t="s">
        <v>132</v>
      </c>
      <c r="E27" s="23">
        <v>13</v>
      </c>
      <c r="F27" s="25" t="s">
        <v>128</v>
      </c>
      <c r="G27" s="25" t="s">
        <v>41</v>
      </c>
      <c r="H27" s="25">
        <v>1</v>
      </c>
      <c r="I27" s="23" t="str">
        <f t="shared" si="0"/>
        <v/>
      </c>
      <c r="J27" s="26"/>
      <c r="K27" s="27"/>
    </row>
    <row r="28" spans="1:11" x14ac:dyDescent="0.3">
      <c r="A28" s="23">
        <v>27</v>
      </c>
      <c r="B28" s="24" t="s">
        <v>15</v>
      </c>
      <c r="C28" s="24" t="s">
        <v>155</v>
      </c>
      <c r="D28" s="23" t="s">
        <v>143</v>
      </c>
      <c r="E28" s="23">
        <v>13</v>
      </c>
      <c r="F28" s="25" t="s">
        <v>128</v>
      </c>
      <c r="G28" s="25" t="s">
        <v>41</v>
      </c>
      <c r="H28" s="25">
        <v>1</v>
      </c>
      <c r="I28" s="23" t="str">
        <f t="shared" si="0"/>
        <v/>
      </c>
      <c r="J28" s="26"/>
      <c r="K28" s="27"/>
    </row>
    <row r="29" spans="1:11" x14ac:dyDescent="0.3">
      <c r="A29" s="23">
        <v>28</v>
      </c>
      <c r="B29" s="24" t="s">
        <v>16</v>
      </c>
      <c r="C29" s="24" t="s">
        <v>156</v>
      </c>
      <c r="D29" s="23" t="s">
        <v>127</v>
      </c>
      <c r="E29" s="23">
        <v>14</v>
      </c>
      <c r="F29" s="25" t="s">
        <v>128</v>
      </c>
      <c r="G29" s="25" t="s">
        <v>41</v>
      </c>
      <c r="H29" s="25">
        <v>1</v>
      </c>
      <c r="I29" s="23" t="str">
        <f t="shared" si="0"/>
        <v/>
      </c>
      <c r="J29" s="26"/>
      <c r="K29" s="27"/>
    </row>
    <row r="30" spans="1:11" x14ac:dyDescent="0.3">
      <c r="A30" s="23">
        <v>29</v>
      </c>
      <c r="B30" s="24" t="s">
        <v>16</v>
      </c>
      <c r="C30" s="24" t="s">
        <v>157</v>
      </c>
      <c r="D30" s="23" t="s">
        <v>132</v>
      </c>
      <c r="E30" s="23">
        <v>14</v>
      </c>
      <c r="F30" s="25" t="s">
        <v>128</v>
      </c>
      <c r="G30" s="25" t="s">
        <v>41</v>
      </c>
      <c r="H30" s="25">
        <v>1</v>
      </c>
      <c r="I30" s="23" t="str">
        <f t="shared" si="0"/>
        <v/>
      </c>
      <c r="J30" s="26"/>
      <c r="K30" s="27"/>
    </row>
    <row r="31" spans="1:11" x14ac:dyDescent="0.3">
      <c r="A31" s="23">
        <v>30</v>
      </c>
      <c r="B31" s="24" t="s">
        <v>16</v>
      </c>
      <c r="C31" s="24" t="s">
        <v>158</v>
      </c>
      <c r="D31" s="23" t="s">
        <v>132</v>
      </c>
      <c r="E31" s="23">
        <v>14</v>
      </c>
      <c r="F31" s="25" t="s">
        <v>128</v>
      </c>
      <c r="G31" s="25" t="s">
        <v>41</v>
      </c>
      <c r="H31" s="25">
        <v>1</v>
      </c>
      <c r="I31" s="23" t="str">
        <f t="shared" si="0"/>
        <v/>
      </c>
      <c r="J31" s="26"/>
      <c r="K31" s="27"/>
    </row>
    <row r="32" spans="1:11" x14ac:dyDescent="0.3">
      <c r="A32" s="23">
        <v>31</v>
      </c>
      <c r="B32" s="24" t="s">
        <v>16</v>
      </c>
      <c r="C32" s="24" t="s">
        <v>159</v>
      </c>
      <c r="D32" s="23" t="s">
        <v>132</v>
      </c>
      <c r="E32" s="23">
        <v>15</v>
      </c>
      <c r="F32" s="25" t="s">
        <v>128</v>
      </c>
      <c r="G32" s="25" t="s">
        <v>41</v>
      </c>
      <c r="H32" s="25">
        <v>1</v>
      </c>
      <c r="I32" s="23" t="str">
        <f t="shared" si="0"/>
        <v/>
      </c>
      <c r="J32" s="26"/>
      <c r="K32" s="27"/>
    </row>
    <row r="33" spans="1:11" x14ac:dyDescent="0.3">
      <c r="A33" s="23">
        <v>32</v>
      </c>
      <c r="B33" s="24" t="s">
        <v>16</v>
      </c>
      <c r="C33" s="24" t="s">
        <v>160</v>
      </c>
      <c r="D33" s="23" t="s">
        <v>143</v>
      </c>
      <c r="E33" s="23">
        <v>15</v>
      </c>
      <c r="F33" s="25" t="s">
        <v>128</v>
      </c>
      <c r="G33" s="25" t="s">
        <v>41</v>
      </c>
      <c r="H33" s="25">
        <v>1</v>
      </c>
      <c r="I33" s="23" t="str">
        <f t="shared" si="0"/>
        <v/>
      </c>
      <c r="J33" s="26"/>
      <c r="K33" s="27"/>
    </row>
    <row r="34" spans="1:11" x14ac:dyDescent="0.3">
      <c r="A34" s="23">
        <v>33</v>
      </c>
      <c r="B34" s="24" t="s">
        <v>16</v>
      </c>
      <c r="C34" s="24" t="s">
        <v>161</v>
      </c>
      <c r="D34" s="23" t="s">
        <v>143</v>
      </c>
      <c r="E34" s="23">
        <v>15</v>
      </c>
      <c r="F34" s="25" t="s">
        <v>128</v>
      </c>
      <c r="G34" s="25" t="s">
        <v>41</v>
      </c>
      <c r="H34" s="25">
        <v>1</v>
      </c>
      <c r="I34" s="23" t="str">
        <f t="shared" ref="I34:I65" si="1">IF(G34="Yes","REVISE","")</f>
        <v/>
      </c>
      <c r="J34" s="26"/>
      <c r="K34" s="27"/>
    </row>
    <row r="35" spans="1:11" x14ac:dyDescent="0.3">
      <c r="A35" s="23">
        <v>34</v>
      </c>
      <c r="B35" s="24" t="s">
        <v>17</v>
      </c>
      <c r="C35" s="24" t="s">
        <v>162</v>
      </c>
      <c r="D35" s="23" t="s">
        <v>127</v>
      </c>
      <c r="E35" s="23">
        <v>16</v>
      </c>
      <c r="F35" s="25" t="s">
        <v>128</v>
      </c>
      <c r="G35" s="25" t="s">
        <v>41</v>
      </c>
      <c r="H35" s="25">
        <v>1</v>
      </c>
      <c r="I35" s="23" t="str">
        <f t="shared" si="1"/>
        <v/>
      </c>
      <c r="J35" s="26"/>
      <c r="K35" s="27"/>
    </row>
    <row r="36" spans="1:11" x14ac:dyDescent="0.3">
      <c r="A36" s="23">
        <v>35</v>
      </c>
      <c r="B36" s="24" t="s">
        <v>17</v>
      </c>
      <c r="C36" s="24" t="s">
        <v>163</v>
      </c>
      <c r="D36" s="23" t="s">
        <v>127</v>
      </c>
      <c r="E36" s="23">
        <v>16</v>
      </c>
      <c r="F36" s="25" t="s">
        <v>128</v>
      </c>
      <c r="G36" s="25" t="s">
        <v>41</v>
      </c>
      <c r="H36" s="25">
        <v>1</v>
      </c>
      <c r="I36" s="23" t="str">
        <f t="shared" si="1"/>
        <v/>
      </c>
      <c r="J36" s="26"/>
      <c r="K36" s="27"/>
    </row>
    <row r="37" spans="1:11" x14ac:dyDescent="0.3">
      <c r="A37" s="23">
        <v>36</v>
      </c>
      <c r="B37" s="24" t="s">
        <v>17</v>
      </c>
      <c r="C37" s="24" t="s">
        <v>164</v>
      </c>
      <c r="D37" s="23" t="s">
        <v>127</v>
      </c>
      <c r="E37" s="23">
        <v>16</v>
      </c>
      <c r="F37" s="25" t="s">
        <v>128</v>
      </c>
      <c r="G37" s="25" t="s">
        <v>41</v>
      </c>
      <c r="H37" s="25">
        <v>1</v>
      </c>
      <c r="I37" s="23" t="str">
        <f t="shared" si="1"/>
        <v/>
      </c>
      <c r="J37" s="26"/>
      <c r="K37" s="27"/>
    </row>
    <row r="38" spans="1:11" x14ac:dyDescent="0.3">
      <c r="A38" s="23">
        <v>37</v>
      </c>
      <c r="B38" s="24" t="s">
        <v>17</v>
      </c>
      <c r="C38" s="24" t="s">
        <v>165</v>
      </c>
      <c r="D38" s="23" t="s">
        <v>132</v>
      </c>
      <c r="E38" s="23">
        <v>17</v>
      </c>
      <c r="F38" s="25" t="s">
        <v>128</v>
      </c>
      <c r="G38" s="25" t="s">
        <v>41</v>
      </c>
      <c r="H38" s="25">
        <v>1</v>
      </c>
      <c r="I38" s="23" t="str">
        <f t="shared" si="1"/>
        <v/>
      </c>
      <c r="J38" s="26"/>
      <c r="K38" s="27"/>
    </row>
    <row r="39" spans="1:11" x14ac:dyDescent="0.3">
      <c r="A39" s="23">
        <v>38</v>
      </c>
      <c r="B39" s="24" t="s">
        <v>17</v>
      </c>
      <c r="C39" s="24" t="s">
        <v>166</v>
      </c>
      <c r="D39" s="23" t="s">
        <v>132</v>
      </c>
      <c r="E39" s="23">
        <v>17</v>
      </c>
      <c r="F39" s="25" t="s">
        <v>128</v>
      </c>
      <c r="G39" s="25" t="s">
        <v>41</v>
      </c>
      <c r="H39" s="25">
        <v>1</v>
      </c>
      <c r="I39" s="23" t="str">
        <f t="shared" si="1"/>
        <v/>
      </c>
      <c r="J39" s="26"/>
      <c r="K39" s="27"/>
    </row>
    <row r="40" spans="1:11" x14ac:dyDescent="0.3">
      <c r="A40" s="23">
        <v>39</v>
      </c>
      <c r="B40" s="24" t="s">
        <v>17</v>
      </c>
      <c r="C40" s="24" t="s">
        <v>167</v>
      </c>
      <c r="D40" s="23" t="s">
        <v>132</v>
      </c>
      <c r="E40" s="23">
        <v>17</v>
      </c>
      <c r="F40" s="25" t="s">
        <v>128</v>
      </c>
      <c r="G40" s="25" t="s">
        <v>41</v>
      </c>
      <c r="H40" s="25">
        <v>1</v>
      </c>
      <c r="I40" s="23" t="str">
        <f t="shared" si="1"/>
        <v/>
      </c>
      <c r="J40" s="26"/>
      <c r="K40" s="27"/>
    </row>
    <row r="41" spans="1:11" x14ac:dyDescent="0.3">
      <c r="A41" s="23">
        <v>40</v>
      </c>
      <c r="B41" s="24" t="s">
        <v>17</v>
      </c>
      <c r="C41" s="24" t="s">
        <v>168</v>
      </c>
      <c r="D41" s="23" t="s">
        <v>132</v>
      </c>
      <c r="E41" s="23">
        <v>18</v>
      </c>
      <c r="F41" s="25" t="s">
        <v>128</v>
      </c>
      <c r="G41" s="25" t="s">
        <v>41</v>
      </c>
      <c r="H41" s="25">
        <v>1</v>
      </c>
      <c r="I41" s="23" t="str">
        <f t="shared" si="1"/>
        <v/>
      </c>
      <c r="J41" s="26"/>
      <c r="K41" s="27"/>
    </row>
    <row r="42" spans="1:11" x14ac:dyDescent="0.3">
      <c r="A42" s="23">
        <v>41</v>
      </c>
      <c r="B42" s="24" t="s">
        <v>17</v>
      </c>
      <c r="C42" s="24" t="s">
        <v>169</v>
      </c>
      <c r="D42" s="23" t="s">
        <v>132</v>
      </c>
      <c r="E42" s="23">
        <v>18</v>
      </c>
      <c r="F42" s="25" t="s">
        <v>128</v>
      </c>
      <c r="G42" s="25" t="s">
        <v>41</v>
      </c>
      <c r="H42" s="25">
        <v>1</v>
      </c>
      <c r="I42" s="23" t="str">
        <f t="shared" si="1"/>
        <v/>
      </c>
      <c r="J42" s="26"/>
      <c r="K42" s="27"/>
    </row>
    <row r="43" spans="1:11" x14ac:dyDescent="0.3">
      <c r="A43" s="23">
        <v>42</v>
      </c>
      <c r="B43" s="24" t="s">
        <v>17</v>
      </c>
      <c r="C43" s="24" t="s">
        <v>170</v>
      </c>
      <c r="D43" s="23" t="s">
        <v>132</v>
      </c>
      <c r="E43" s="23">
        <v>18</v>
      </c>
      <c r="F43" s="25" t="s">
        <v>128</v>
      </c>
      <c r="G43" s="25" t="s">
        <v>41</v>
      </c>
      <c r="H43" s="25">
        <v>1</v>
      </c>
      <c r="I43" s="23" t="str">
        <f t="shared" si="1"/>
        <v/>
      </c>
      <c r="J43" s="26"/>
      <c r="K43" s="27"/>
    </row>
    <row r="44" spans="1:11" x14ac:dyDescent="0.3">
      <c r="A44" s="23">
        <v>43</v>
      </c>
      <c r="B44" s="24" t="s">
        <v>17</v>
      </c>
      <c r="C44" s="24" t="s">
        <v>171</v>
      </c>
      <c r="D44" s="23" t="s">
        <v>143</v>
      </c>
      <c r="E44" s="23">
        <v>19</v>
      </c>
      <c r="F44" s="25" t="s">
        <v>128</v>
      </c>
      <c r="G44" s="25" t="s">
        <v>41</v>
      </c>
      <c r="H44" s="25">
        <v>1</v>
      </c>
      <c r="I44" s="23" t="str">
        <f t="shared" si="1"/>
        <v/>
      </c>
      <c r="J44" s="26"/>
      <c r="K44" s="27"/>
    </row>
    <row r="45" spans="1:11" x14ac:dyDescent="0.3">
      <c r="A45" s="23">
        <v>44</v>
      </c>
      <c r="B45" s="24" t="s">
        <v>17</v>
      </c>
      <c r="C45" s="24" t="s">
        <v>172</v>
      </c>
      <c r="D45" s="23" t="s">
        <v>143</v>
      </c>
      <c r="E45" s="23">
        <v>19</v>
      </c>
      <c r="F45" s="25" t="s">
        <v>128</v>
      </c>
      <c r="G45" s="25" t="s">
        <v>41</v>
      </c>
      <c r="H45" s="25">
        <v>1</v>
      </c>
      <c r="I45" s="23" t="str">
        <f t="shared" si="1"/>
        <v/>
      </c>
      <c r="J45" s="26"/>
      <c r="K45" s="27"/>
    </row>
    <row r="46" spans="1:11" x14ac:dyDescent="0.3">
      <c r="A46" s="23">
        <v>45</v>
      </c>
      <c r="B46" s="24" t="s">
        <v>18</v>
      </c>
      <c r="C46" s="24" t="s">
        <v>173</v>
      </c>
      <c r="D46" s="23" t="s">
        <v>127</v>
      </c>
      <c r="E46" s="23">
        <v>19</v>
      </c>
      <c r="F46" s="25" t="s">
        <v>128</v>
      </c>
      <c r="G46" s="25" t="s">
        <v>41</v>
      </c>
      <c r="H46" s="25">
        <v>1</v>
      </c>
      <c r="I46" s="23" t="str">
        <f t="shared" si="1"/>
        <v/>
      </c>
      <c r="J46" s="26"/>
      <c r="K46" s="27"/>
    </row>
    <row r="47" spans="1:11" x14ac:dyDescent="0.3">
      <c r="A47" s="23">
        <v>46</v>
      </c>
      <c r="B47" s="24" t="s">
        <v>18</v>
      </c>
      <c r="C47" s="24" t="s">
        <v>174</v>
      </c>
      <c r="D47" s="23" t="s">
        <v>127</v>
      </c>
      <c r="E47" s="23">
        <v>20</v>
      </c>
      <c r="F47" s="25" t="s">
        <v>128</v>
      </c>
      <c r="G47" s="25" t="s">
        <v>41</v>
      </c>
      <c r="H47" s="25">
        <v>1</v>
      </c>
      <c r="I47" s="23" t="str">
        <f t="shared" si="1"/>
        <v/>
      </c>
      <c r="J47" s="26"/>
      <c r="K47" s="27"/>
    </row>
    <row r="48" spans="1:11" x14ac:dyDescent="0.3">
      <c r="A48" s="23">
        <v>47</v>
      </c>
      <c r="B48" s="24" t="s">
        <v>18</v>
      </c>
      <c r="C48" s="24" t="s">
        <v>175</v>
      </c>
      <c r="D48" s="23" t="s">
        <v>127</v>
      </c>
      <c r="E48" s="23">
        <v>20</v>
      </c>
      <c r="F48" s="25" t="s">
        <v>128</v>
      </c>
      <c r="G48" s="25" t="s">
        <v>41</v>
      </c>
      <c r="H48" s="25">
        <v>1</v>
      </c>
      <c r="I48" s="23" t="str">
        <f t="shared" si="1"/>
        <v/>
      </c>
      <c r="J48" s="26"/>
      <c r="K48" s="27"/>
    </row>
    <row r="49" spans="1:11" x14ac:dyDescent="0.3">
      <c r="A49" s="23">
        <v>48</v>
      </c>
      <c r="B49" s="24" t="s">
        <v>18</v>
      </c>
      <c r="C49" s="24" t="s">
        <v>176</v>
      </c>
      <c r="D49" s="23" t="s">
        <v>127</v>
      </c>
      <c r="E49" s="23">
        <v>20</v>
      </c>
      <c r="F49" s="25" t="s">
        <v>128</v>
      </c>
      <c r="G49" s="25" t="s">
        <v>41</v>
      </c>
      <c r="H49" s="25">
        <v>1</v>
      </c>
      <c r="I49" s="23" t="str">
        <f t="shared" si="1"/>
        <v/>
      </c>
      <c r="J49" s="26"/>
      <c r="K49" s="27"/>
    </row>
    <row r="50" spans="1:11" x14ac:dyDescent="0.3">
      <c r="A50" s="23">
        <v>49</v>
      </c>
      <c r="B50" s="24" t="s">
        <v>18</v>
      </c>
      <c r="C50" s="24" t="s">
        <v>177</v>
      </c>
      <c r="D50" s="23" t="s">
        <v>127</v>
      </c>
      <c r="E50" s="23">
        <v>21</v>
      </c>
      <c r="F50" s="25" t="s">
        <v>128</v>
      </c>
      <c r="G50" s="25" t="s">
        <v>41</v>
      </c>
      <c r="H50" s="25">
        <v>1</v>
      </c>
      <c r="I50" s="23" t="str">
        <f t="shared" si="1"/>
        <v/>
      </c>
      <c r="J50" s="26"/>
      <c r="K50" s="27"/>
    </row>
    <row r="51" spans="1:11" x14ac:dyDescent="0.3">
      <c r="A51" s="23">
        <v>50</v>
      </c>
      <c r="B51" s="24" t="s">
        <v>18</v>
      </c>
      <c r="C51" s="24" t="s">
        <v>178</v>
      </c>
      <c r="D51" s="23" t="s">
        <v>127</v>
      </c>
      <c r="E51" s="23">
        <v>21</v>
      </c>
      <c r="F51" s="25" t="s">
        <v>128</v>
      </c>
      <c r="G51" s="25" t="s">
        <v>41</v>
      </c>
      <c r="H51" s="25">
        <v>1</v>
      </c>
      <c r="I51" s="23" t="str">
        <f t="shared" si="1"/>
        <v/>
      </c>
      <c r="J51" s="26"/>
      <c r="K51" s="27"/>
    </row>
    <row r="52" spans="1:11" x14ac:dyDescent="0.3">
      <c r="A52" s="23">
        <v>51</v>
      </c>
      <c r="B52" s="24" t="s">
        <v>18</v>
      </c>
      <c r="C52" s="24" t="s">
        <v>179</v>
      </c>
      <c r="D52" s="23" t="s">
        <v>132</v>
      </c>
      <c r="E52" s="23">
        <v>21</v>
      </c>
      <c r="F52" s="25" t="s">
        <v>128</v>
      </c>
      <c r="G52" s="25" t="s">
        <v>41</v>
      </c>
      <c r="H52" s="25">
        <v>1</v>
      </c>
      <c r="I52" s="23" t="str">
        <f t="shared" si="1"/>
        <v/>
      </c>
      <c r="J52" s="26"/>
      <c r="K52" s="27"/>
    </row>
    <row r="53" spans="1:11" x14ac:dyDescent="0.3">
      <c r="A53" s="23">
        <v>52</v>
      </c>
      <c r="B53" s="24" t="s">
        <v>18</v>
      </c>
      <c r="C53" s="24" t="s">
        <v>180</v>
      </c>
      <c r="D53" s="23" t="s">
        <v>132</v>
      </c>
      <c r="E53" s="23">
        <v>22</v>
      </c>
      <c r="F53" s="25" t="s">
        <v>128</v>
      </c>
      <c r="G53" s="25" t="s">
        <v>41</v>
      </c>
      <c r="H53" s="25">
        <v>1</v>
      </c>
      <c r="I53" s="23" t="str">
        <f t="shared" si="1"/>
        <v/>
      </c>
      <c r="J53" s="26"/>
      <c r="K53" s="27"/>
    </row>
    <row r="54" spans="1:11" x14ac:dyDescent="0.3">
      <c r="A54" s="23">
        <v>53</v>
      </c>
      <c r="B54" s="24" t="s">
        <v>18</v>
      </c>
      <c r="C54" s="24" t="s">
        <v>181</v>
      </c>
      <c r="D54" s="23" t="s">
        <v>132</v>
      </c>
      <c r="E54" s="23">
        <v>22</v>
      </c>
      <c r="F54" s="25" t="s">
        <v>128</v>
      </c>
      <c r="G54" s="25" t="s">
        <v>41</v>
      </c>
      <c r="H54" s="25">
        <v>1</v>
      </c>
      <c r="I54" s="23" t="str">
        <f t="shared" si="1"/>
        <v/>
      </c>
      <c r="J54" s="26"/>
      <c r="K54" s="27"/>
    </row>
    <row r="55" spans="1:11" x14ac:dyDescent="0.3">
      <c r="A55" s="23">
        <v>54</v>
      </c>
      <c r="B55" s="24" t="s">
        <v>18</v>
      </c>
      <c r="C55" s="24" t="s">
        <v>182</v>
      </c>
      <c r="D55" s="23" t="s">
        <v>132</v>
      </c>
      <c r="E55" s="23">
        <v>22</v>
      </c>
      <c r="F55" s="25" t="s">
        <v>128</v>
      </c>
      <c r="G55" s="25" t="s">
        <v>41</v>
      </c>
      <c r="H55" s="25">
        <v>1</v>
      </c>
      <c r="I55" s="23" t="str">
        <f t="shared" si="1"/>
        <v/>
      </c>
      <c r="J55" s="26"/>
      <c r="K55" s="27"/>
    </row>
    <row r="56" spans="1:11" x14ac:dyDescent="0.3">
      <c r="A56" s="23">
        <v>55</v>
      </c>
      <c r="B56" s="24" t="s">
        <v>18</v>
      </c>
      <c r="C56" s="24" t="s">
        <v>183</v>
      </c>
      <c r="D56" s="23" t="s">
        <v>132</v>
      </c>
      <c r="E56" s="23">
        <v>23</v>
      </c>
      <c r="F56" s="25" t="s">
        <v>128</v>
      </c>
      <c r="G56" s="25" t="s">
        <v>41</v>
      </c>
      <c r="H56" s="25">
        <v>1</v>
      </c>
      <c r="I56" s="23" t="str">
        <f t="shared" si="1"/>
        <v/>
      </c>
      <c r="J56" s="26"/>
      <c r="K56" s="27"/>
    </row>
    <row r="57" spans="1:11" x14ac:dyDescent="0.3">
      <c r="A57" s="23">
        <v>56</v>
      </c>
      <c r="B57" s="24" t="s">
        <v>18</v>
      </c>
      <c r="C57" s="24" t="s">
        <v>184</v>
      </c>
      <c r="D57" s="23" t="s">
        <v>132</v>
      </c>
      <c r="E57" s="23">
        <v>23</v>
      </c>
      <c r="F57" s="25" t="s">
        <v>128</v>
      </c>
      <c r="G57" s="25" t="s">
        <v>41</v>
      </c>
      <c r="H57" s="25">
        <v>1</v>
      </c>
      <c r="I57" s="23" t="str">
        <f t="shared" si="1"/>
        <v/>
      </c>
      <c r="J57" s="26"/>
      <c r="K57" s="27"/>
    </row>
    <row r="58" spans="1:11" x14ac:dyDescent="0.3">
      <c r="A58" s="23">
        <v>57</v>
      </c>
      <c r="B58" s="24" t="s">
        <v>18</v>
      </c>
      <c r="C58" s="24" t="s">
        <v>185</v>
      </c>
      <c r="D58" s="23" t="s">
        <v>132</v>
      </c>
      <c r="E58" s="23">
        <v>23</v>
      </c>
      <c r="F58" s="25" t="s">
        <v>128</v>
      </c>
      <c r="G58" s="25" t="s">
        <v>41</v>
      </c>
      <c r="H58" s="25">
        <v>1</v>
      </c>
      <c r="I58" s="23" t="str">
        <f t="shared" si="1"/>
        <v/>
      </c>
      <c r="J58" s="26"/>
      <c r="K58" s="27"/>
    </row>
    <row r="59" spans="1:11" x14ac:dyDescent="0.3">
      <c r="A59" s="23">
        <v>58</v>
      </c>
      <c r="B59" s="24" t="s">
        <v>18</v>
      </c>
      <c r="C59" s="24" t="s">
        <v>186</v>
      </c>
      <c r="D59" s="23" t="s">
        <v>143</v>
      </c>
      <c r="E59" s="23">
        <v>24</v>
      </c>
      <c r="F59" s="25" t="s">
        <v>128</v>
      </c>
      <c r="G59" s="25" t="s">
        <v>41</v>
      </c>
      <c r="H59" s="25">
        <v>1</v>
      </c>
      <c r="I59" s="23" t="str">
        <f t="shared" si="1"/>
        <v/>
      </c>
      <c r="J59" s="26"/>
      <c r="K59" s="27"/>
    </row>
    <row r="60" spans="1:11" x14ac:dyDescent="0.3">
      <c r="A60" s="23">
        <v>59</v>
      </c>
      <c r="B60" s="24" t="s">
        <v>18</v>
      </c>
      <c r="C60" s="24" t="s">
        <v>187</v>
      </c>
      <c r="D60" s="23" t="s">
        <v>143</v>
      </c>
      <c r="E60" s="23">
        <v>24</v>
      </c>
      <c r="F60" s="25" t="s">
        <v>128</v>
      </c>
      <c r="G60" s="25" t="s">
        <v>41</v>
      </c>
      <c r="H60" s="25">
        <v>1</v>
      </c>
      <c r="I60" s="23" t="str">
        <f t="shared" si="1"/>
        <v/>
      </c>
      <c r="J60" s="26"/>
      <c r="K60" s="27"/>
    </row>
    <row r="61" spans="1:11" x14ac:dyDescent="0.3">
      <c r="A61" s="23">
        <v>60</v>
      </c>
      <c r="B61" s="24" t="s">
        <v>19</v>
      </c>
      <c r="C61" s="24" t="s">
        <v>188</v>
      </c>
      <c r="D61" s="23" t="s">
        <v>132</v>
      </c>
      <c r="E61" s="23">
        <v>24</v>
      </c>
      <c r="F61" s="25" t="s">
        <v>128</v>
      </c>
      <c r="G61" s="25" t="s">
        <v>41</v>
      </c>
      <c r="H61" s="25">
        <v>1</v>
      </c>
      <c r="I61" s="23" t="str">
        <f t="shared" si="1"/>
        <v/>
      </c>
      <c r="J61" s="26"/>
      <c r="K61" s="27"/>
    </row>
    <row r="62" spans="1:11" x14ac:dyDescent="0.3">
      <c r="A62" s="23">
        <v>61</v>
      </c>
      <c r="B62" s="24" t="s">
        <v>19</v>
      </c>
      <c r="C62" s="24" t="s">
        <v>189</v>
      </c>
      <c r="D62" s="23" t="s">
        <v>132</v>
      </c>
      <c r="E62" s="23">
        <v>25</v>
      </c>
      <c r="F62" s="25" t="s">
        <v>128</v>
      </c>
      <c r="G62" s="25" t="s">
        <v>41</v>
      </c>
      <c r="H62" s="25">
        <v>1</v>
      </c>
      <c r="I62" s="23" t="str">
        <f t="shared" si="1"/>
        <v/>
      </c>
      <c r="J62" s="26"/>
      <c r="K62" s="27"/>
    </row>
    <row r="63" spans="1:11" x14ac:dyDescent="0.3">
      <c r="A63" s="23">
        <v>62</v>
      </c>
      <c r="B63" s="24" t="s">
        <v>19</v>
      </c>
      <c r="C63" s="24" t="s">
        <v>190</v>
      </c>
      <c r="D63" s="23" t="s">
        <v>143</v>
      </c>
      <c r="E63" s="23">
        <v>25</v>
      </c>
      <c r="F63" s="25" t="s">
        <v>128</v>
      </c>
      <c r="G63" s="25" t="s">
        <v>41</v>
      </c>
      <c r="H63" s="25">
        <v>1</v>
      </c>
      <c r="I63" s="23" t="str">
        <f t="shared" si="1"/>
        <v/>
      </c>
      <c r="J63" s="26"/>
      <c r="K63" s="27"/>
    </row>
    <row r="64" spans="1:11" x14ac:dyDescent="0.3">
      <c r="A64" s="23">
        <v>63</v>
      </c>
      <c r="B64" s="24" t="s">
        <v>20</v>
      </c>
      <c r="C64" s="24" t="s">
        <v>191</v>
      </c>
      <c r="D64" s="23" t="s">
        <v>127</v>
      </c>
      <c r="E64" s="23">
        <v>25</v>
      </c>
      <c r="F64" s="25" t="s">
        <v>128</v>
      </c>
      <c r="G64" s="25" t="s">
        <v>41</v>
      </c>
      <c r="H64" s="25">
        <v>1</v>
      </c>
      <c r="I64" s="23" t="str">
        <f t="shared" si="1"/>
        <v/>
      </c>
      <c r="J64" s="26"/>
      <c r="K64" s="27"/>
    </row>
    <row r="65" spans="1:11" x14ac:dyDescent="0.3">
      <c r="A65" s="23">
        <v>64</v>
      </c>
      <c r="B65" s="24" t="s">
        <v>20</v>
      </c>
      <c r="C65" s="24" t="s">
        <v>192</v>
      </c>
      <c r="D65" s="23" t="s">
        <v>127</v>
      </c>
      <c r="E65" s="23">
        <v>26</v>
      </c>
      <c r="F65" s="25" t="s">
        <v>128</v>
      </c>
      <c r="G65" s="25" t="s">
        <v>41</v>
      </c>
      <c r="H65" s="25">
        <v>1</v>
      </c>
      <c r="I65" s="23" t="str">
        <f t="shared" si="1"/>
        <v/>
      </c>
      <c r="J65" s="26"/>
      <c r="K65" s="27"/>
    </row>
    <row r="66" spans="1:11" x14ac:dyDescent="0.3">
      <c r="A66" s="23">
        <v>65</v>
      </c>
      <c r="B66" s="24" t="s">
        <v>20</v>
      </c>
      <c r="C66" s="24" t="s">
        <v>193</v>
      </c>
      <c r="D66" s="23" t="s">
        <v>132</v>
      </c>
      <c r="E66" s="23">
        <v>26</v>
      </c>
      <c r="F66" s="25" t="s">
        <v>128</v>
      </c>
      <c r="G66" s="25" t="s">
        <v>41</v>
      </c>
      <c r="H66" s="25">
        <v>1</v>
      </c>
      <c r="I66" s="23" t="str">
        <f t="shared" ref="I66:I97" si="2">IF(G66="Yes","REVISE","")</f>
        <v/>
      </c>
      <c r="J66" s="26"/>
      <c r="K66" s="27"/>
    </row>
    <row r="67" spans="1:11" x14ac:dyDescent="0.3">
      <c r="A67" s="23">
        <v>66</v>
      </c>
      <c r="B67" s="24" t="s">
        <v>20</v>
      </c>
      <c r="C67" s="24" t="s">
        <v>194</v>
      </c>
      <c r="D67" s="23" t="s">
        <v>132</v>
      </c>
      <c r="E67" s="23">
        <v>26</v>
      </c>
      <c r="F67" s="25" t="s">
        <v>128</v>
      </c>
      <c r="G67" s="25" t="s">
        <v>41</v>
      </c>
      <c r="H67" s="25">
        <v>1</v>
      </c>
      <c r="I67" s="23" t="str">
        <f t="shared" si="2"/>
        <v/>
      </c>
      <c r="J67" s="26"/>
      <c r="K67" s="27"/>
    </row>
    <row r="68" spans="1:11" x14ac:dyDescent="0.3">
      <c r="A68" s="23">
        <v>67</v>
      </c>
      <c r="B68" s="24" t="s">
        <v>20</v>
      </c>
      <c r="C68" s="24" t="s">
        <v>195</v>
      </c>
      <c r="D68" s="23" t="s">
        <v>132</v>
      </c>
      <c r="E68" s="23">
        <v>27</v>
      </c>
      <c r="F68" s="25" t="s">
        <v>128</v>
      </c>
      <c r="G68" s="25" t="s">
        <v>41</v>
      </c>
      <c r="H68" s="25">
        <v>1</v>
      </c>
      <c r="I68" s="23" t="str">
        <f t="shared" si="2"/>
        <v/>
      </c>
      <c r="J68" s="26"/>
      <c r="K68" s="27"/>
    </row>
    <row r="69" spans="1:11" x14ac:dyDescent="0.3">
      <c r="A69" s="23">
        <v>68</v>
      </c>
      <c r="B69" s="24" t="s">
        <v>20</v>
      </c>
      <c r="C69" s="24" t="s">
        <v>196</v>
      </c>
      <c r="D69" s="23" t="s">
        <v>132</v>
      </c>
      <c r="E69" s="23">
        <v>27</v>
      </c>
      <c r="F69" s="25" t="s">
        <v>128</v>
      </c>
      <c r="G69" s="25" t="s">
        <v>41</v>
      </c>
      <c r="H69" s="25">
        <v>1</v>
      </c>
      <c r="I69" s="23" t="str">
        <f t="shared" si="2"/>
        <v/>
      </c>
      <c r="J69" s="26"/>
      <c r="K69" s="27"/>
    </row>
    <row r="70" spans="1:11" x14ac:dyDescent="0.3">
      <c r="A70" s="23">
        <v>69</v>
      </c>
      <c r="B70" s="24" t="s">
        <v>20</v>
      </c>
      <c r="C70" s="24" t="s">
        <v>197</v>
      </c>
      <c r="D70" s="23" t="s">
        <v>143</v>
      </c>
      <c r="E70" s="23">
        <v>27</v>
      </c>
      <c r="F70" s="25" t="s">
        <v>128</v>
      </c>
      <c r="G70" s="25" t="s">
        <v>41</v>
      </c>
      <c r="H70" s="25">
        <v>1</v>
      </c>
      <c r="I70" s="23" t="str">
        <f t="shared" si="2"/>
        <v/>
      </c>
      <c r="J70" s="26"/>
      <c r="K70" s="27"/>
    </row>
    <row r="71" spans="1:11" x14ac:dyDescent="0.3">
      <c r="A71" s="23">
        <v>70</v>
      </c>
      <c r="B71" s="24" t="s">
        <v>21</v>
      </c>
      <c r="C71" s="24" t="s">
        <v>198</v>
      </c>
      <c r="D71" s="23" t="s">
        <v>132</v>
      </c>
      <c r="E71" s="23">
        <v>28</v>
      </c>
      <c r="F71" s="25" t="s">
        <v>128</v>
      </c>
      <c r="G71" s="25" t="s">
        <v>41</v>
      </c>
      <c r="H71" s="25">
        <v>1</v>
      </c>
      <c r="I71" s="23" t="str">
        <f t="shared" si="2"/>
        <v/>
      </c>
      <c r="J71" s="26"/>
      <c r="K71" s="27"/>
    </row>
    <row r="72" spans="1:11" x14ac:dyDescent="0.3">
      <c r="A72" s="23">
        <v>71</v>
      </c>
      <c r="B72" s="24" t="s">
        <v>21</v>
      </c>
      <c r="C72" s="24" t="s">
        <v>199</v>
      </c>
      <c r="D72" s="23" t="s">
        <v>132</v>
      </c>
      <c r="E72" s="23">
        <v>28</v>
      </c>
      <c r="F72" s="25" t="s">
        <v>128</v>
      </c>
      <c r="G72" s="25" t="s">
        <v>41</v>
      </c>
      <c r="H72" s="25">
        <v>1</v>
      </c>
      <c r="I72" s="23" t="str">
        <f t="shared" si="2"/>
        <v/>
      </c>
      <c r="J72" s="26"/>
      <c r="K72" s="27"/>
    </row>
    <row r="73" spans="1:11" x14ac:dyDescent="0.3">
      <c r="A73" s="23">
        <v>72</v>
      </c>
      <c r="B73" s="24" t="s">
        <v>21</v>
      </c>
      <c r="C73" s="24" t="s">
        <v>200</v>
      </c>
      <c r="D73" s="23" t="s">
        <v>132</v>
      </c>
      <c r="E73" s="23">
        <v>28</v>
      </c>
      <c r="F73" s="25" t="s">
        <v>128</v>
      </c>
      <c r="G73" s="25" t="s">
        <v>41</v>
      </c>
      <c r="H73" s="25">
        <v>1</v>
      </c>
      <c r="I73" s="23" t="str">
        <f t="shared" si="2"/>
        <v/>
      </c>
      <c r="J73" s="26"/>
      <c r="K73" s="27"/>
    </row>
    <row r="74" spans="1:11" x14ac:dyDescent="0.3">
      <c r="A74" s="23">
        <v>73</v>
      </c>
      <c r="B74" s="24" t="s">
        <v>21</v>
      </c>
      <c r="C74" s="24" t="s">
        <v>201</v>
      </c>
      <c r="D74" s="23" t="s">
        <v>132</v>
      </c>
      <c r="E74" s="23">
        <v>29</v>
      </c>
      <c r="F74" s="25" t="s">
        <v>128</v>
      </c>
      <c r="G74" s="25" t="s">
        <v>41</v>
      </c>
      <c r="H74" s="25">
        <v>1</v>
      </c>
      <c r="I74" s="23" t="str">
        <f t="shared" si="2"/>
        <v/>
      </c>
      <c r="J74" s="26"/>
      <c r="K74" s="27"/>
    </row>
    <row r="75" spans="1:11" x14ac:dyDescent="0.3">
      <c r="A75" s="23">
        <v>74</v>
      </c>
      <c r="B75" s="24" t="s">
        <v>21</v>
      </c>
      <c r="C75" s="24" t="s">
        <v>202</v>
      </c>
      <c r="D75" s="23" t="s">
        <v>132</v>
      </c>
      <c r="E75" s="23">
        <v>29</v>
      </c>
      <c r="F75" s="25" t="s">
        <v>128</v>
      </c>
      <c r="G75" s="25" t="s">
        <v>41</v>
      </c>
      <c r="H75" s="25">
        <v>1</v>
      </c>
      <c r="I75" s="23" t="str">
        <f t="shared" si="2"/>
        <v/>
      </c>
      <c r="J75" s="26"/>
      <c r="K75" s="27"/>
    </row>
    <row r="76" spans="1:11" x14ac:dyDescent="0.3">
      <c r="A76" s="23">
        <v>75</v>
      </c>
      <c r="B76" s="24" t="s">
        <v>21</v>
      </c>
      <c r="C76" s="24" t="s">
        <v>203</v>
      </c>
      <c r="D76" s="23" t="s">
        <v>132</v>
      </c>
      <c r="E76" s="23">
        <v>29</v>
      </c>
      <c r="F76" s="25" t="s">
        <v>128</v>
      </c>
      <c r="G76" s="25" t="s">
        <v>41</v>
      </c>
      <c r="H76" s="25">
        <v>1</v>
      </c>
      <c r="I76" s="23" t="str">
        <f t="shared" si="2"/>
        <v/>
      </c>
      <c r="J76" s="26"/>
      <c r="K76" s="27"/>
    </row>
    <row r="77" spans="1:11" x14ac:dyDescent="0.3">
      <c r="A77" s="23">
        <v>76</v>
      </c>
      <c r="B77" s="24" t="s">
        <v>21</v>
      </c>
      <c r="C77" s="24" t="s">
        <v>204</v>
      </c>
      <c r="D77" s="23" t="s">
        <v>132</v>
      </c>
      <c r="E77" s="23">
        <v>30</v>
      </c>
      <c r="F77" s="25" t="s">
        <v>128</v>
      </c>
      <c r="G77" s="25" t="s">
        <v>41</v>
      </c>
      <c r="H77" s="25">
        <v>1</v>
      </c>
      <c r="I77" s="23" t="str">
        <f t="shared" si="2"/>
        <v/>
      </c>
      <c r="J77" s="26"/>
      <c r="K77" s="27"/>
    </row>
    <row r="78" spans="1:11" x14ac:dyDescent="0.3">
      <c r="A78" s="23">
        <v>77</v>
      </c>
      <c r="B78" s="24" t="s">
        <v>21</v>
      </c>
      <c r="C78" s="24" t="s">
        <v>205</v>
      </c>
      <c r="D78" s="23" t="s">
        <v>132</v>
      </c>
      <c r="E78" s="23">
        <v>30</v>
      </c>
      <c r="F78" s="25" t="s">
        <v>128</v>
      </c>
      <c r="G78" s="25" t="s">
        <v>41</v>
      </c>
      <c r="H78" s="25">
        <v>1</v>
      </c>
      <c r="I78" s="23" t="str">
        <f t="shared" si="2"/>
        <v/>
      </c>
      <c r="J78" s="26"/>
      <c r="K78" s="27"/>
    </row>
    <row r="79" spans="1:11" x14ac:dyDescent="0.3">
      <c r="A79" s="23">
        <v>78</v>
      </c>
      <c r="B79" s="24" t="s">
        <v>21</v>
      </c>
      <c r="C79" s="24" t="s">
        <v>206</v>
      </c>
      <c r="D79" s="23" t="s">
        <v>132</v>
      </c>
      <c r="E79" s="23">
        <v>30</v>
      </c>
      <c r="F79" s="25" t="s">
        <v>128</v>
      </c>
      <c r="G79" s="25" t="s">
        <v>41</v>
      </c>
      <c r="H79" s="25">
        <v>1</v>
      </c>
      <c r="I79" s="23" t="str">
        <f t="shared" si="2"/>
        <v/>
      </c>
      <c r="J79" s="26"/>
      <c r="K79" s="27"/>
    </row>
    <row r="80" spans="1:11" x14ac:dyDescent="0.3">
      <c r="A80" s="23">
        <v>79</v>
      </c>
      <c r="B80" s="24" t="s">
        <v>21</v>
      </c>
      <c r="C80" s="24" t="s">
        <v>207</v>
      </c>
      <c r="D80" s="23" t="s">
        <v>143</v>
      </c>
      <c r="E80" s="23">
        <v>31</v>
      </c>
      <c r="F80" s="25" t="s">
        <v>128</v>
      </c>
      <c r="G80" s="25" t="s">
        <v>41</v>
      </c>
      <c r="H80" s="25">
        <v>1</v>
      </c>
      <c r="I80" s="23" t="str">
        <f t="shared" si="2"/>
        <v/>
      </c>
      <c r="J80" s="26"/>
      <c r="K80" s="27"/>
    </row>
    <row r="81" spans="1:11" x14ac:dyDescent="0.3">
      <c r="A81" s="23">
        <v>80</v>
      </c>
      <c r="B81" s="24" t="s">
        <v>22</v>
      </c>
      <c r="C81" s="24" t="s">
        <v>208</v>
      </c>
      <c r="D81" s="23" t="s">
        <v>132</v>
      </c>
      <c r="E81" s="23">
        <v>31</v>
      </c>
      <c r="F81" s="25" t="s">
        <v>128</v>
      </c>
      <c r="G81" s="25" t="s">
        <v>41</v>
      </c>
      <c r="H81" s="25">
        <v>1</v>
      </c>
      <c r="I81" s="23" t="str">
        <f t="shared" si="2"/>
        <v/>
      </c>
      <c r="J81" s="26"/>
      <c r="K81" s="27"/>
    </row>
    <row r="82" spans="1:11" x14ac:dyDescent="0.3">
      <c r="A82" s="23">
        <v>81</v>
      </c>
      <c r="B82" s="24" t="s">
        <v>22</v>
      </c>
      <c r="C82" s="24" t="s">
        <v>209</v>
      </c>
      <c r="D82" s="23" t="s">
        <v>132</v>
      </c>
      <c r="E82" s="23">
        <v>31</v>
      </c>
      <c r="F82" s="25" t="s">
        <v>128</v>
      </c>
      <c r="G82" s="25" t="s">
        <v>41</v>
      </c>
      <c r="H82" s="25">
        <v>1</v>
      </c>
      <c r="I82" s="23" t="str">
        <f t="shared" si="2"/>
        <v/>
      </c>
      <c r="J82" s="26"/>
      <c r="K82" s="27"/>
    </row>
    <row r="83" spans="1:11" x14ac:dyDescent="0.3">
      <c r="A83" s="23">
        <v>82</v>
      </c>
      <c r="B83" s="24" t="s">
        <v>22</v>
      </c>
      <c r="C83" s="24" t="s">
        <v>210</v>
      </c>
      <c r="D83" s="23" t="s">
        <v>132</v>
      </c>
      <c r="E83" s="23">
        <v>32</v>
      </c>
      <c r="F83" s="25" t="s">
        <v>128</v>
      </c>
      <c r="G83" s="25" t="s">
        <v>41</v>
      </c>
      <c r="H83" s="25">
        <v>1</v>
      </c>
      <c r="I83" s="23" t="str">
        <f t="shared" si="2"/>
        <v/>
      </c>
      <c r="J83" s="26"/>
      <c r="K83" s="27"/>
    </row>
    <row r="84" spans="1:11" x14ac:dyDescent="0.3">
      <c r="A84" s="23">
        <v>83</v>
      </c>
      <c r="B84" s="24" t="s">
        <v>22</v>
      </c>
      <c r="C84" s="24" t="s">
        <v>211</v>
      </c>
      <c r="D84" s="23" t="s">
        <v>132</v>
      </c>
      <c r="E84" s="23">
        <v>32</v>
      </c>
      <c r="F84" s="25" t="s">
        <v>128</v>
      </c>
      <c r="G84" s="25" t="s">
        <v>41</v>
      </c>
      <c r="H84" s="25">
        <v>1</v>
      </c>
      <c r="I84" s="23" t="str">
        <f t="shared" si="2"/>
        <v/>
      </c>
      <c r="J84" s="26"/>
      <c r="K84" s="27"/>
    </row>
    <row r="85" spans="1:11" x14ac:dyDescent="0.3">
      <c r="A85" s="23">
        <v>84</v>
      </c>
      <c r="B85" s="24" t="s">
        <v>22</v>
      </c>
      <c r="C85" s="24" t="s">
        <v>212</v>
      </c>
      <c r="D85" s="23" t="s">
        <v>132</v>
      </c>
      <c r="E85" s="23">
        <v>32</v>
      </c>
      <c r="F85" s="25" t="s">
        <v>128</v>
      </c>
      <c r="G85" s="25" t="s">
        <v>41</v>
      </c>
      <c r="H85" s="25">
        <v>1</v>
      </c>
      <c r="I85" s="23" t="str">
        <f t="shared" si="2"/>
        <v/>
      </c>
      <c r="J85" s="26"/>
      <c r="K85" s="27"/>
    </row>
    <row r="86" spans="1:11" x14ac:dyDescent="0.3">
      <c r="A86" s="23">
        <v>85</v>
      </c>
      <c r="B86" s="24" t="s">
        <v>22</v>
      </c>
      <c r="C86" s="24" t="s">
        <v>213</v>
      </c>
      <c r="D86" s="23" t="s">
        <v>132</v>
      </c>
      <c r="E86" s="23">
        <v>33</v>
      </c>
      <c r="F86" s="25" t="s">
        <v>128</v>
      </c>
      <c r="G86" s="25" t="s">
        <v>41</v>
      </c>
      <c r="H86" s="25">
        <v>1</v>
      </c>
      <c r="I86" s="23" t="str">
        <f t="shared" si="2"/>
        <v/>
      </c>
      <c r="J86" s="26"/>
      <c r="K86" s="27"/>
    </row>
    <row r="87" spans="1:11" x14ac:dyDescent="0.3">
      <c r="A87" s="23">
        <v>86</v>
      </c>
      <c r="B87" s="24" t="s">
        <v>22</v>
      </c>
      <c r="C87" s="24" t="s">
        <v>214</v>
      </c>
      <c r="D87" s="23" t="s">
        <v>132</v>
      </c>
      <c r="E87" s="23">
        <v>33</v>
      </c>
      <c r="F87" s="25" t="s">
        <v>128</v>
      </c>
      <c r="G87" s="25" t="s">
        <v>41</v>
      </c>
      <c r="H87" s="25">
        <v>1</v>
      </c>
      <c r="I87" s="23" t="str">
        <f t="shared" si="2"/>
        <v/>
      </c>
      <c r="J87" s="26"/>
      <c r="K87" s="27"/>
    </row>
    <row r="88" spans="1:11" x14ac:dyDescent="0.3">
      <c r="A88" s="23">
        <v>87</v>
      </c>
      <c r="B88" s="24" t="s">
        <v>22</v>
      </c>
      <c r="C88" s="24" t="s">
        <v>215</v>
      </c>
      <c r="D88" s="23" t="s">
        <v>132</v>
      </c>
      <c r="E88" s="23">
        <v>33</v>
      </c>
      <c r="F88" s="25" t="s">
        <v>128</v>
      </c>
      <c r="G88" s="25" t="s">
        <v>41</v>
      </c>
      <c r="H88" s="25">
        <v>1</v>
      </c>
      <c r="I88" s="23" t="str">
        <f t="shared" si="2"/>
        <v/>
      </c>
      <c r="J88" s="26"/>
      <c r="K88" s="27"/>
    </row>
    <row r="89" spans="1:11" x14ac:dyDescent="0.3">
      <c r="A89" s="23">
        <v>88</v>
      </c>
      <c r="B89" s="24" t="s">
        <v>22</v>
      </c>
      <c r="C89" s="24" t="s">
        <v>216</v>
      </c>
      <c r="D89" s="23" t="s">
        <v>132</v>
      </c>
      <c r="E89" s="23">
        <v>34</v>
      </c>
      <c r="F89" s="25" t="s">
        <v>128</v>
      </c>
      <c r="G89" s="25" t="s">
        <v>41</v>
      </c>
      <c r="H89" s="25">
        <v>1</v>
      </c>
      <c r="I89" s="23" t="str">
        <f t="shared" si="2"/>
        <v/>
      </c>
      <c r="J89" s="26"/>
      <c r="K89" s="27"/>
    </row>
    <row r="90" spans="1:11" x14ac:dyDescent="0.3">
      <c r="A90" s="23">
        <v>89</v>
      </c>
      <c r="B90" s="24" t="s">
        <v>22</v>
      </c>
      <c r="C90" s="24" t="s">
        <v>217</v>
      </c>
      <c r="D90" s="23" t="s">
        <v>132</v>
      </c>
      <c r="E90" s="23">
        <v>34</v>
      </c>
      <c r="F90" s="25" t="s">
        <v>128</v>
      </c>
      <c r="G90" s="25" t="s">
        <v>41</v>
      </c>
      <c r="H90" s="25">
        <v>1</v>
      </c>
      <c r="I90" s="23" t="str">
        <f t="shared" si="2"/>
        <v/>
      </c>
      <c r="J90" s="26"/>
      <c r="K90" s="27"/>
    </row>
    <row r="91" spans="1:11" x14ac:dyDescent="0.3">
      <c r="A91" s="23">
        <v>90</v>
      </c>
      <c r="B91" s="24" t="s">
        <v>22</v>
      </c>
      <c r="C91" s="24" t="s">
        <v>218</v>
      </c>
      <c r="D91" s="23" t="s">
        <v>132</v>
      </c>
      <c r="E91" s="23">
        <v>34</v>
      </c>
      <c r="F91" s="25" t="s">
        <v>128</v>
      </c>
      <c r="G91" s="25" t="s">
        <v>41</v>
      </c>
      <c r="H91" s="25">
        <v>1</v>
      </c>
      <c r="I91" s="23" t="str">
        <f t="shared" si="2"/>
        <v/>
      </c>
      <c r="J91" s="26"/>
      <c r="K91" s="27"/>
    </row>
    <row r="92" spans="1:11" x14ac:dyDescent="0.3">
      <c r="A92" s="23">
        <v>91</v>
      </c>
      <c r="B92" s="24" t="s">
        <v>22</v>
      </c>
      <c r="C92" s="24" t="s">
        <v>219</v>
      </c>
      <c r="D92" s="23" t="s">
        <v>132</v>
      </c>
      <c r="E92" s="23">
        <v>35</v>
      </c>
      <c r="F92" s="25" t="s">
        <v>128</v>
      </c>
      <c r="G92" s="25" t="s">
        <v>41</v>
      </c>
      <c r="H92" s="25">
        <v>1</v>
      </c>
      <c r="I92" s="23" t="str">
        <f t="shared" si="2"/>
        <v/>
      </c>
      <c r="J92" s="26"/>
      <c r="K92" s="27"/>
    </row>
    <row r="93" spans="1:11" x14ac:dyDescent="0.3">
      <c r="A93" s="23">
        <v>92</v>
      </c>
      <c r="B93" s="24" t="s">
        <v>22</v>
      </c>
      <c r="C93" s="24" t="s">
        <v>220</v>
      </c>
      <c r="D93" s="23" t="s">
        <v>143</v>
      </c>
      <c r="E93" s="23">
        <v>35</v>
      </c>
      <c r="F93" s="25" t="s">
        <v>128</v>
      </c>
      <c r="G93" s="25" t="s">
        <v>41</v>
      </c>
      <c r="H93" s="25">
        <v>1</v>
      </c>
      <c r="I93" s="23" t="str">
        <f t="shared" si="2"/>
        <v/>
      </c>
      <c r="J93" s="26"/>
      <c r="K93" s="27"/>
    </row>
    <row r="94" spans="1:11" x14ac:dyDescent="0.3">
      <c r="A94" s="23">
        <v>93</v>
      </c>
      <c r="B94" s="24" t="s">
        <v>23</v>
      </c>
      <c r="C94" s="24" t="s">
        <v>221</v>
      </c>
      <c r="D94" s="23" t="s">
        <v>143</v>
      </c>
      <c r="E94" s="23">
        <v>35</v>
      </c>
      <c r="F94" s="25" t="s">
        <v>128</v>
      </c>
      <c r="G94" s="25" t="s">
        <v>41</v>
      </c>
      <c r="H94" s="25">
        <v>1</v>
      </c>
      <c r="I94" s="23" t="str">
        <f t="shared" si="2"/>
        <v/>
      </c>
      <c r="J94" s="26"/>
      <c r="K94" s="27"/>
    </row>
    <row r="95" spans="1:11" x14ac:dyDescent="0.3">
      <c r="A95" s="23">
        <v>94</v>
      </c>
      <c r="B95" s="24" t="s">
        <v>23</v>
      </c>
      <c r="C95" s="24" t="s">
        <v>222</v>
      </c>
      <c r="D95" s="23" t="s">
        <v>132</v>
      </c>
      <c r="E95" s="23">
        <v>36</v>
      </c>
      <c r="F95" s="25" t="s">
        <v>128</v>
      </c>
      <c r="G95" s="25" t="s">
        <v>41</v>
      </c>
      <c r="H95" s="25">
        <v>1</v>
      </c>
      <c r="I95" s="23" t="str">
        <f t="shared" si="2"/>
        <v/>
      </c>
      <c r="J95" s="26"/>
      <c r="K95" s="27"/>
    </row>
    <row r="96" spans="1:11" x14ac:dyDescent="0.3">
      <c r="A96" s="23">
        <v>95</v>
      </c>
      <c r="B96" s="24" t="s">
        <v>23</v>
      </c>
      <c r="C96" s="24" t="s">
        <v>223</v>
      </c>
      <c r="D96" s="23" t="s">
        <v>132</v>
      </c>
      <c r="E96" s="23">
        <v>36</v>
      </c>
      <c r="F96" s="25" t="s">
        <v>128</v>
      </c>
      <c r="G96" s="25" t="s">
        <v>41</v>
      </c>
      <c r="H96" s="25">
        <v>1</v>
      </c>
      <c r="I96" s="23" t="str">
        <f t="shared" si="2"/>
        <v/>
      </c>
      <c r="J96" s="26"/>
      <c r="K96" s="27"/>
    </row>
    <row r="97" spans="1:11" x14ac:dyDescent="0.3">
      <c r="A97" s="23">
        <v>96</v>
      </c>
      <c r="B97" s="24" t="s">
        <v>23</v>
      </c>
      <c r="C97" s="24" t="s">
        <v>224</v>
      </c>
      <c r="D97" s="23" t="s">
        <v>143</v>
      </c>
      <c r="E97" s="23">
        <v>36</v>
      </c>
      <c r="F97" s="25" t="s">
        <v>128</v>
      </c>
      <c r="G97" s="25" t="s">
        <v>41</v>
      </c>
      <c r="H97" s="25">
        <v>1</v>
      </c>
      <c r="I97" s="23" t="str">
        <f t="shared" si="2"/>
        <v/>
      </c>
      <c r="J97" s="26"/>
      <c r="K97" s="27"/>
    </row>
    <row r="98" spans="1:11" x14ac:dyDescent="0.3">
      <c r="A98" s="23">
        <v>97</v>
      </c>
      <c r="B98" s="24" t="s">
        <v>23</v>
      </c>
      <c r="C98" s="24" t="s">
        <v>225</v>
      </c>
      <c r="D98" s="23" t="s">
        <v>143</v>
      </c>
      <c r="E98" s="23">
        <v>37</v>
      </c>
      <c r="F98" s="25" t="s">
        <v>128</v>
      </c>
      <c r="G98" s="25" t="s">
        <v>41</v>
      </c>
      <c r="H98" s="25">
        <v>1</v>
      </c>
      <c r="I98" s="23" t="str">
        <f t="shared" ref="I98:I129" si="3">IF(G98="Yes","REVISE","")</f>
        <v/>
      </c>
      <c r="J98" s="26"/>
      <c r="K98" s="27"/>
    </row>
    <row r="99" spans="1:11" x14ac:dyDescent="0.3">
      <c r="A99" s="23">
        <v>98</v>
      </c>
      <c r="B99" s="24" t="s">
        <v>23</v>
      </c>
      <c r="C99" s="24" t="s">
        <v>226</v>
      </c>
      <c r="D99" s="23" t="s">
        <v>132</v>
      </c>
      <c r="E99" s="23">
        <v>37</v>
      </c>
      <c r="F99" s="25" t="s">
        <v>128</v>
      </c>
      <c r="G99" s="25" t="s">
        <v>41</v>
      </c>
      <c r="H99" s="25">
        <v>1</v>
      </c>
      <c r="I99" s="23" t="str">
        <f t="shared" si="3"/>
        <v/>
      </c>
      <c r="J99" s="26"/>
      <c r="K99" s="27"/>
    </row>
    <row r="100" spans="1:11" x14ac:dyDescent="0.3">
      <c r="A100" s="23">
        <v>99</v>
      </c>
      <c r="B100" s="24" t="s">
        <v>24</v>
      </c>
      <c r="C100" s="24" t="s">
        <v>227</v>
      </c>
      <c r="D100" s="23" t="s">
        <v>127</v>
      </c>
      <c r="E100" s="23">
        <v>37</v>
      </c>
      <c r="F100" s="25" t="s">
        <v>128</v>
      </c>
      <c r="G100" s="25" t="s">
        <v>41</v>
      </c>
      <c r="H100" s="25">
        <v>1</v>
      </c>
      <c r="I100" s="23" t="str">
        <f t="shared" si="3"/>
        <v/>
      </c>
      <c r="J100" s="26"/>
      <c r="K100" s="27"/>
    </row>
    <row r="101" spans="1:11" x14ac:dyDescent="0.3">
      <c r="A101" s="23">
        <v>100</v>
      </c>
      <c r="B101" s="24" t="s">
        <v>24</v>
      </c>
      <c r="C101" s="24" t="s">
        <v>228</v>
      </c>
      <c r="D101" s="23" t="s">
        <v>127</v>
      </c>
      <c r="E101" s="23">
        <v>38</v>
      </c>
      <c r="F101" s="25" t="s">
        <v>128</v>
      </c>
      <c r="G101" s="25" t="s">
        <v>41</v>
      </c>
      <c r="H101" s="25">
        <v>1</v>
      </c>
      <c r="I101" s="23" t="str">
        <f t="shared" si="3"/>
        <v/>
      </c>
      <c r="J101" s="26"/>
      <c r="K101" s="27"/>
    </row>
    <row r="102" spans="1:11" x14ac:dyDescent="0.3">
      <c r="A102" s="23">
        <v>101</v>
      </c>
      <c r="B102" s="24" t="s">
        <v>24</v>
      </c>
      <c r="C102" s="24" t="s">
        <v>229</v>
      </c>
      <c r="D102" s="23" t="s">
        <v>132</v>
      </c>
      <c r="E102" s="23">
        <v>38</v>
      </c>
      <c r="F102" s="25" t="s">
        <v>128</v>
      </c>
      <c r="G102" s="25" t="s">
        <v>41</v>
      </c>
      <c r="H102" s="25">
        <v>1</v>
      </c>
      <c r="I102" s="23" t="str">
        <f t="shared" si="3"/>
        <v/>
      </c>
      <c r="J102" s="26"/>
      <c r="K102" s="27"/>
    </row>
    <row r="103" spans="1:11" x14ac:dyDescent="0.3">
      <c r="A103" s="23">
        <v>102</v>
      </c>
      <c r="B103" s="24" t="s">
        <v>24</v>
      </c>
      <c r="C103" s="24" t="s">
        <v>230</v>
      </c>
      <c r="D103" s="23" t="s">
        <v>132</v>
      </c>
      <c r="E103" s="23">
        <v>38</v>
      </c>
      <c r="F103" s="25" t="s">
        <v>128</v>
      </c>
      <c r="G103" s="25" t="s">
        <v>41</v>
      </c>
      <c r="H103" s="25">
        <v>1</v>
      </c>
      <c r="I103" s="23" t="str">
        <f t="shared" si="3"/>
        <v/>
      </c>
      <c r="J103" s="26"/>
      <c r="K103" s="27"/>
    </row>
    <row r="104" spans="1:11" x14ac:dyDescent="0.3">
      <c r="A104" s="23">
        <v>103</v>
      </c>
      <c r="B104" s="24" t="s">
        <v>24</v>
      </c>
      <c r="C104" s="24" t="s">
        <v>231</v>
      </c>
      <c r="D104" s="23" t="s">
        <v>132</v>
      </c>
      <c r="E104" s="23">
        <v>39</v>
      </c>
      <c r="F104" s="25" t="s">
        <v>128</v>
      </c>
      <c r="G104" s="25" t="s">
        <v>41</v>
      </c>
      <c r="H104" s="25">
        <v>1</v>
      </c>
      <c r="I104" s="23" t="str">
        <f t="shared" si="3"/>
        <v/>
      </c>
      <c r="J104" s="26"/>
      <c r="K104" s="27"/>
    </row>
    <row r="105" spans="1:11" x14ac:dyDescent="0.3">
      <c r="A105" s="23">
        <v>104</v>
      </c>
      <c r="B105" s="24" t="s">
        <v>24</v>
      </c>
      <c r="C105" s="24" t="s">
        <v>232</v>
      </c>
      <c r="D105" s="23" t="s">
        <v>132</v>
      </c>
      <c r="E105" s="23">
        <v>39</v>
      </c>
      <c r="F105" s="25" t="s">
        <v>128</v>
      </c>
      <c r="G105" s="25" t="s">
        <v>41</v>
      </c>
      <c r="H105" s="25">
        <v>1</v>
      </c>
      <c r="I105" s="23" t="str">
        <f t="shared" si="3"/>
        <v/>
      </c>
      <c r="J105" s="26"/>
      <c r="K105" s="27"/>
    </row>
    <row r="106" spans="1:11" x14ac:dyDescent="0.3">
      <c r="A106" s="23">
        <v>105</v>
      </c>
      <c r="B106" s="24" t="s">
        <v>24</v>
      </c>
      <c r="C106" s="24" t="s">
        <v>233</v>
      </c>
      <c r="D106" s="23" t="s">
        <v>132</v>
      </c>
      <c r="E106" s="23">
        <v>39</v>
      </c>
      <c r="F106" s="25" t="s">
        <v>128</v>
      </c>
      <c r="G106" s="25" t="s">
        <v>41</v>
      </c>
      <c r="H106" s="25">
        <v>1</v>
      </c>
      <c r="I106" s="23" t="str">
        <f t="shared" si="3"/>
        <v/>
      </c>
      <c r="J106" s="26"/>
      <c r="K106" s="27"/>
    </row>
    <row r="107" spans="1:11" x14ac:dyDescent="0.3">
      <c r="A107" s="23">
        <v>106</v>
      </c>
      <c r="B107" s="24" t="s">
        <v>24</v>
      </c>
      <c r="C107" s="24" t="s">
        <v>234</v>
      </c>
      <c r="D107" s="23" t="s">
        <v>132</v>
      </c>
      <c r="E107" s="23">
        <v>40</v>
      </c>
      <c r="F107" s="25" t="s">
        <v>128</v>
      </c>
      <c r="G107" s="25" t="s">
        <v>41</v>
      </c>
      <c r="H107" s="25">
        <v>1</v>
      </c>
      <c r="I107" s="23" t="str">
        <f t="shared" si="3"/>
        <v/>
      </c>
      <c r="J107" s="26"/>
      <c r="K107" s="27"/>
    </row>
    <row r="108" spans="1:11" x14ac:dyDescent="0.3">
      <c r="A108" s="23">
        <v>107</v>
      </c>
      <c r="B108" s="24" t="s">
        <v>24</v>
      </c>
      <c r="C108" s="24" t="s">
        <v>235</v>
      </c>
      <c r="D108" s="23" t="s">
        <v>132</v>
      </c>
      <c r="E108" s="23">
        <v>40</v>
      </c>
      <c r="F108" s="25" t="s">
        <v>128</v>
      </c>
      <c r="G108" s="25" t="s">
        <v>41</v>
      </c>
      <c r="H108" s="25">
        <v>1</v>
      </c>
      <c r="I108" s="23" t="str">
        <f t="shared" si="3"/>
        <v/>
      </c>
      <c r="J108" s="26"/>
      <c r="K108" s="27"/>
    </row>
    <row r="109" spans="1:11" x14ac:dyDescent="0.3">
      <c r="A109" s="23">
        <v>108</v>
      </c>
      <c r="B109" s="24" t="s">
        <v>24</v>
      </c>
      <c r="C109" s="24" t="s">
        <v>236</v>
      </c>
      <c r="D109" s="23" t="s">
        <v>132</v>
      </c>
      <c r="E109" s="23">
        <v>40</v>
      </c>
      <c r="F109" s="25" t="s">
        <v>128</v>
      </c>
      <c r="G109" s="25" t="s">
        <v>41</v>
      </c>
      <c r="H109" s="25">
        <v>1</v>
      </c>
      <c r="I109" s="23" t="str">
        <f t="shared" si="3"/>
        <v/>
      </c>
      <c r="J109" s="26"/>
      <c r="K109" s="27"/>
    </row>
    <row r="110" spans="1:11" x14ac:dyDescent="0.3">
      <c r="A110" s="23">
        <v>109</v>
      </c>
      <c r="B110" s="24" t="s">
        <v>24</v>
      </c>
      <c r="C110" s="24" t="s">
        <v>237</v>
      </c>
      <c r="D110" s="23" t="s">
        <v>132</v>
      </c>
      <c r="E110" s="23">
        <v>41</v>
      </c>
      <c r="F110" s="25" t="s">
        <v>128</v>
      </c>
      <c r="G110" s="25" t="s">
        <v>41</v>
      </c>
      <c r="H110" s="25">
        <v>1</v>
      </c>
      <c r="I110" s="23" t="str">
        <f t="shared" si="3"/>
        <v/>
      </c>
      <c r="J110" s="26"/>
      <c r="K110" s="27"/>
    </row>
    <row r="111" spans="1:11" x14ac:dyDescent="0.3">
      <c r="A111" s="23">
        <v>110</v>
      </c>
      <c r="B111" s="24" t="s">
        <v>24</v>
      </c>
      <c r="C111" s="24" t="s">
        <v>238</v>
      </c>
      <c r="D111" s="23" t="s">
        <v>132</v>
      </c>
      <c r="E111" s="23">
        <v>41</v>
      </c>
      <c r="F111" s="25" t="s">
        <v>128</v>
      </c>
      <c r="G111" s="25" t="s">
        <v>41</v>
      </c>
      <c r="H111" s="25">
        <v>1</v>
      </c>
      <c r="I111" s="23" t="str">
        <f t="shared" si="3"/>
        <v/>
      </c>
      <c r="J111" s="26"/>
      <c r="K111" s="27"/>
    </row>
    <row r="112" spans="1:11" x14ac:dyDescent="0.3">
      <c r="A112" s="23">
        <v>111</v>
      </c>
      <c r="B112" s="24" t="s">
        <v>25</v>
      </c>
      <c r="C112" s="24" t="s">
        <v>239</v>
      </c>
      <c r="D112" s="23" t="s">
        <v>132</v>
      </c>
      <c r="E112" s="23">
        <v>41</v>
      </c>
      <c r="F112" s="25" t="s">
        <v>128</v>
      </c>
      <c r="G112" s="25" t="s">
        <v>41</v>
      </c>
      <c r="H112" s="25">
        <v>1</v>
      </c>
      <c r="I112" s="23" t="str">
        <f t="shared" si="3"/>
        <v/>
      </c>
      <c r="J112" s="26"/>
      <c r="K112" s="27"/>
    </row>
    <row r="113" spans="1:11" x14ac:dyDescent="0.3">
      <c r="A113" s="23">
        <v>112</v>
      </c>
      <c r="B113" s="24" t="s">
        <v>25</v>
      </c>
      <c r="C113" s="24" t="s">
        <v>240</v>
      </c>
      <c r="D113" s="23" t="s">
        <v>132</v>
      </c>
      <c r="E113" s="23">
        <v>42</v>
      </c>
      <c r="F113" s="25" t="s">
        <v>128</v>
      </c>
      <c r="G113" s="25" t="s">
        <v>41</v>
      </c>
      <c r="H113" s="25">
        <v>1</v>
      </c>
      <c r="I113" s="23" t="str">
        <f t="shared" si="3"/>
        <v/>
      </c>
      <c r="J113" s="26"/>
      <c r="K113" s="27"/>
    </row>
    <row r="114" spans="1:11" x14ac:dyDescent="0.3">
      <c r="A114" s="23">
        <v>113</v>
      </c>
      <c r="B114" s="24" t="s">
        <v>25</v>
      </c>
      <c r="C114" s="24" t="s">
        <v>241</v>
      </c>
      <c r="D114" s="23" t="s">
        <v>132</v>
      </c>
      <c r="E114" s="23">
        <v>42</v>
      </c>
      <c r="F114" s="25" t="s">
        <v>128</v>
      </c>
      <c r="G114" s="25" t="s">
        <v>41</v>
      </c>
      <c r="H114" s="25">
        <v>1</v>
      </c>
      <c r="I114" s="23" t="str">
        <f t="shared" si="3"/>
        <v/>
      </c>
      <c r="J114" s="26"/>
      <c r="K114" s="27"/>
    </row>
    <row r="115" spans="1:11" x14ac:dyDescent="0.3">
      <c r="A115" s="23">
        <v>114</v>
      </c>
      <c r="B115" s="24" t="s">
        <v>25</v>
      </c>
      <c r="C115" s="24" t="s">
        <v>242</v>
      </c>
      <c r="D115" s="23" t="s">
        <v>132</v>
      </c>
      <c r="E115" s="23">
        <v>42</v>
      </c>
      <c r="F115" s="25" t="s">
        <v>128</v>
      </c>
      <c r="G115" s="25" t="s">
        <v>41</v>
      </c>
      <c r="H115" s="25">
        <v>1</v>
      </c>
      <c r="I115" s="23" t="str">
        <f t="shared" si="3"/>
        <v/>
      </c>
      <c r="J115" s="26"/>
      <c r="K115" s="27"/>
    </row>
    <row r="116" spans="1:11" x14ac:dyDescent="0.3">
      <c r="A116" s="23">
        <v>115</v>
      </c>
      <c r="B116" s="24" t="s">
        <v>25</v>
      </c>
      <c r="C116" s="24" t="s">
        <v>243</v>
      </c>
      <c r="D116" s="23" t="s">
        <v>132</v>
      </c>
      <c r="E116" s="23">
        <v>43</v>
      </c>
      <c r="F116" s="25" t="s">
        <v>128</v>
      </c>
      <c r="G116" s="25" t="s">
        <v>41</v>
      </c>
      <c r="H116" s="25">
        <v>1</v>
      </c>
      <c r="I116" s="23" t="str">
        <f t="shared" si="3"/>
        <v/>
      </c>
      <c r="J116" s="26"/>
      <c r="K116" s="27"/>
    </row>
    <row r="117" spans="1:11" x14ac:dyDescent="0.3">
      <c r="A117" s="23">
        <v>116</v>
      </c>
      <c r="B117" s="24" t="s">
        <v>25</v>
      </c>
      <c r="C117" s="24" t="s">
        <v>244</v>
      </c>
      <c r="D117" s="23" t="s">
        <v>132</v>
      </c>
      <c r="E117" s="23">
        <v>43</v>
      </c>
      <c r="F117" s="25" t="s">
        <v>128</v>
      </c>
      <c r="G117" s="25" t="s">
        <v>41</v>
      </c>
      <c r="H117" s="25">
        <v>1</v>
      </c>
      <c r="I117" s="23" t="str">
        <f t="shared" si="3"/>
        <v/>
      </c>
      <c r="J117" s="26"/>
      <c r="K117" s="27"/>
    </row>
    <row r="118" spans="1:11" x14ac:dyDescent="0.3">
      <c r="A118" s="23">
        <v>117</v>
      </c>
      <c r="B118" s="24" t="s">
        <v>25</v>
      </c>
      <c r="C118" s="24" t="s">
        <v>245</v>
      </c>
      <c r="D118" s="23" t="s">
        <v>143</v>
      </c>
      <c r="E118" s="23">
        <v>43</v>
      </c>
      <c r="F118" s="25" t="s">
        <v>128</v>
      </c>
      <c r="G118" s="25" t="s">
        <v>41</v>
      </c>
      <c r="H118" s="25">
        <v>1</v>
      </c>
      <c r="I118" s="23" t="str">
        <f t="shared" si="3"/>
        <v/>
      </c>
      <c r="J118" s="26"/>
      <c r="K118" s="27"/>
    </row>
    <row r="119" spans="1:11" x14ac:dyDescent="0.3">
      <c r="A119" s="23">
        <v>118</v>
      </c>
      <c r="B119" s="24" t="s">
        <v>25</v>
      </c>
      <c r="C119" s="24" t="s">
        <v>246</v>
      </c>
      <c r="D119" s="23" t="s">
        <v>143</v>
      </c>
      <c r="E119" s="23">
        <v>44</v>
      </c>
      <c r="F119" s="25" t="s">
        <v>128</v>
      </c>
      <c r="G119" s="25" t="s">
        <v>41</v>
      </c>
      <c r="H119" s="25">
        <v>1</v>
      </c>
      <c r="I119" s="23" t="str">
        <f t="shared" si="3"/>
        <v/>
      </c>
      <c r="J119" s="26"/>
      <c r="K119" s="27"/>
    </row>
    <row r="120" spans="1:11" x14ac:dyDescent="0.3">
      <c r="A120" s="23">
        <v>119</v>
      </c>
      <c r="B120" s="24" t="s">
        <v>25</v>
      </c>
      <c r="C120" s="24" t="s">
        <v>247</v>
      </c>
      <c r="D120" s="23" t="s">
        <v>132</v>
      </c>
      <c r="E120" s="23">
        <v>44</v>
      </c>
      <c r="F120" s="25" t="s">
        <v>128</v>
      </c>
      <c r="G120" s="25" t="s">
        <v>41</v>
      </c>
      <c r="H120" s="25">
        <v>1</v>
      </c>
      <c r="I120" s="23" t="str">
        <f t="shared" si="3"/>
        <v/>
      </c>
      <c r="J120" s="26"/>
      <c r="K120" s="27"/>
    </row>
    <row r="121" spans="1:11" x14ac:dyDescent="0.3">
      <c r="A121" s="23">
        <v>120</v>
      </c>
      <c r="B121" s="24" t="s">
        <v>25</v>
      </c>
      <c r="C121" s="24" t="s">
        <v>248</v>
      </c>
      <c r="D121" s="23" t="s">
        <v>143</v>
      </c>
      <c r="E121" s="23">
        <v>44</v>
      </c>
      <c r="F121" s="25" t="s">
        <v>128</v>
      </c>
      <c r="G121" s="25" t="s">
        <v>41</v>
      </c>
      <c r="H121" s="25">
        <v>1</v>
      </c>
      <c r="I121" s="23" t="str">
        <f t="shared" si="3"/>
        <v/>
      </c>
      <c r="J121" s="26"/>
      <c r="K121" s="27"/>
    </row>
    <row r="122" spans="1:11" x14ac:dyDescent="0.3">
      <c r="A122" s="23">
        <v>121</v>
      </c>
      <c r="B122" s="24" t="s">
        <v>25</v>
      </c>
      <c r="C122" s="24" t="s">
        <v>249</v>
      </c>
      <c r="D122" s="23" t="s">
        <v>143</v>
      </c>
      <c r="E122" s="23">
        <v>45</v>
      </c>
      <c r="F122" s="25" t="s">
        <v>128</v>
      </c>
      <c r="G122" s="25" t="s">
        <v>41</v>
      </c>
      <c r="H122" s="25">
        <v>1</v>
      </c>
      <c r="I122" s="23" t="str">
        <f t="shared" si="3"/>
        <v/>
      </c>
      <c r="J122" s="26"/>
      <c r="K122" s="27"/>
    </row>
    <row r="123" spans="1:11" x14ac:dyDescent="0.3">
      <c r="A123" s="23">
        <v>122</v>
      </c>
      <c r="B123" s="24" t="s">
        <v>26</v>
      </c>
      <c r="C123" s="24" t="s">
        <v>250</v>
      </c>
      <c r="D123" s="23" t="s">
        <v>132</v>
      </c>
      <c r="E123" s="23">
        <v>45</v>
      </c>
      <c r="F123" s="25" t="s">
        <v>128</v>
      </c>
      <c r="G123" s="25" t="s">
        <v>41</v>
      </c>
      <c r="H123" s="25">
        <v>1</v>
      </c>
      <c r="I123" s="23" t="str">
        <f t="shared" si="3"/>
        <v/>
      </c>
      <c r="J123" s="26"/>
      <c r="K123" s="27"/>
    </row>
    <row r="124" spans="1:11" x14ac:dyDescent="0.3">
      <c r="A124" s="23">
        <v>123</v>
      </c>
      <c r="B124" s="24" t="s">
        <v>26</v>
      </c>
      <c r="C124" s="24" t="s">
        <v>251</v>
      </c>
      <c r="D124" s="23" t="s">
        <v>132</v>
      </c>
      <c r="E124" s="23">
        <v>45</v>
      </c>
      <c r="F124" s="25" t="s">
        <v>128</v>
      </c>
      <c r="G124" s="25" t="s">
        <v>41</v>
      </c>
      <c r="H124" s="25">
        <v>1</v>
      </c>
      <c r="I124" s="23" t="str">
        <f t="shared" si="3"/>
        <v/>
      </c>
      <c r="J124" s="26"/>
      <c r="K124" s="27"/>
    </row>
    <row r="125" spans="1:11" x14ac:dyDescent="0.3">
      <c r="A125" s="23">
        <v>124</v>
      </c>
      <c r="B125" s="24" t="s">
        <v>26</v>
      </c>
      <c r="C125" s="24" t="s">
        <v>252</v>
      </c>
      <c r="D125" s="23" t="s">
        <v>132</v>
      </c>
      <c r="E125" s="23">
        <v>46</v>
      </c>
      <c r="F125" s="25" t="s">
        <v>128</v>
      </c>
      <c r="G125" s="25" t="s">
        <v>41</v>
      </c>
      <c r="H125" s="25">
        <v>1</v>
      </c>
      <c r="I125" s="23" t="str">
        <f t="shared" si="3"/>
        <v/>
      </c>
      <c r="J125" s="26"/>
      <c r="K125" s="27"/>
    </row>
    <row r="126" spans="1:11" x14ac:dyDescent="0.3">
      <c r="A126" s="23">
        <v>125</v>
      </c>
      <c r="B126" s="24" t="s">
        <v>26</v>
      </c>
      <c r="C126" s="24" t="s">
        <v>253</v>
      </c>
      <c r="D126" s="23" t="s">
        <v>132</v>
      </c>
      <c r="E126" s="23">
        <v>46</v>
      </c>
      <c r="F126" s="25" t="s">
        <v>128</v>
      </c>
      <c r="G126" s="25" t="s">
        <v>41</v>
      </c>
      <c r="H126" s="25">
        <v>1</v>
      </c>
      <c r="I126" s="23" t="str">
        <f t="shared" si="3"/>
        <v/>
      </c>
      <c r="J126" s="26"/>
      <c r="K126" s="27"/>
    </row>
    <row r="127" spans="1:11" x14ac:dyDescent="0.3">
      <c r="A127" s="23">
        <v>126</v>
      </c>
      <c r="B127" s="24" t="s">
        <v>26</v>
      </c>
      <c r="C127" s="24" t="s">
        <v>254</v>
      </c>
      <c r="D127" s="23" t="s">
        <v>132</v>
      </c>
      <c r="E127" s="23">
        <v>46</v>
      </c>
      <c r="F127" s="25" t="s">
        <v>128</v>
      </c>
      <c r="G127" s="25" t="s">
        <v>41</v>
      </c>
      <c r="H127" s="25">
        <v>1</v>
      </c>
      <c r="I127" s="23" t="str">
        <f t="shared" si="3"/>
        <v/>
      </c>
      <c r="J127" s="26"/>
      <c r="K127" s="27"/>
    </row>
    <row r="128" spans="1:11" x14ac:dyDescent="0.3">
      <c r="A128" s="23">
        <v>127</v>
      </c>
      <c r="B128" s="24" t="s">
        <v>26</v>
      </c>
      <c r="C128" s="24" t="s">
        <v>255</v>
      </c>
      <c r="D128" s="23" t="s">
        <v>132</v>
      </c>
      <c r="E128" s="23">
        <v>47</v>
      </c>
      <c r="F128" s="25" t="s">
        <v>128</v>
      </c>
      <c r="G128" s="25" t="s">
        <v>41</v>
      </c>
      <c r="H128" s="25">
        <v>1</v>
      </c>
      <c r="I128" s="23" t="str">
        <f t="shared" si="3"/>
        <v/>
      </c>
      <c r="J128" s="26"/>
      <c r="K128" s="27"/>
    </row>
    <row r="129" spans="1:11" x14ac:dyDescent="0.3">
      <c r="A129" s="23">
        <v>128</v>
      </c>
      <c r="B129" s="24" t="s">
        <v>26</v>
      </c>
      <c r="C129" s="24" t="s">
        <v>256</v>
      </c>
      <c r="D129" s="23" t="s">
        <v>132</v>
      </c>
      <c r="E129" s="23">
        <v>47</v>
      </c>
      <c r="F129" s="25" t="s">
        <v>128</v>
      </c>
      <c r="G129" s="25" t="s">
        <v>41</v>
      </c>
      <c r="H129" s="25">
        <v>1</v>
      </c>
      <c r="I129" s="23" t="str">
        <f t="shared" si="3"/>
        <v/>
      </c>
      <c r="J129" s="26"/>
      <c r="K129" s="27"/>
    </row>
    <row r="130" spans="1:11" x14ac:dyDescent="0.3">
      <c r="A130" s="23">
        <v>129</v>
      </c>
      <c r="B130" s="24" t="s">
        <v>26</v>
      </c>
      <c r="C130" s="24" t="s">
        <v>257</v>
      </c>
      <c r="D130" s="23" t="s">
        <v>132</v>
      </c>
      <c r="E130" s="23">
        <v>47</v>
      </c>
      <c r="F130" s="25" t="s">
        <v>128</v>
      </c>
      <c r="G130" s="25" t="s">
        <v>41</v>
      </c>
      <c r="H130" s="25">
        <v>1</v>
      </c>
      <c r="I130" s="23" t="str">
        <f t="shared" ref="I130:I151" si="4">IF(G130="Yes","REVISE","")</f>
        <v/>
      </c>
      <c r="J130" s="26"/>
      <c r="K130" s="27"/>
    </row>
    <row r="131" spans="1:11" x14ac:dyDescent="0.3">
      <c r="A131" s="23">
        <v>130</v>
      </c>
      <c r="B131" s="24" t="s">
        <v>27</v>
      </c>
      <c r="C131" s="24" t="s">
        <v>258</v>
      </c>
      <c r="D131" s="23" t="s">
        <v>132</v>
      </c>
      <c r="E131" s="23">
        <v>48</v>
      </c>
      <c r="F131" s="25" t="s">
        <v>128</v>
      </c>
      <c r="G131" s="25" t="s">
        <v>41</v>
      </c>
      <c r="H131" s="25">
        <v>1</v>
      </c>
      <c r="I131" s="23" t="str">
        <f t="shared" si="4"/>
        <v/>
      </c>
      <c r="J131" s="26"/>
      <c r="K131" s="27"/>
    </row>
    <row r="132" spans="1:11" x14ac:dyDescent="0.3">
      <c r="A132" s="23">
        <v>131</v>
      </c>
      <c r="B132" s="24" t="s">
        <v>27</v>
      </c>
      <c r="C132" s="24" t="s">
        <v>259</v>
      </c>
      <c r="D132" s="23" t="s">
        <v>132</v>
      </c>
      <c r="E132" s="23">
        <v>48</v>
      </c>
      <c r="F132" s="25" t="s">
        <v>128</v>
      </c>
      <c r="G132" s="25" t="s">
        <v>41</v>
      </c>
      <c r="H132" s="25">
        <v>1</v>
      </c>
      <c r="I132" s="23" t="str">
        <f t="shared" si="4"/>
        <v/>
      </c>
      <c r="J132" s="26"/>
      <c r="K132" s="27"/>
    </row>
    <row r="133" spans="1:11" x14ac:dyDescent="0.3">
      <c r="A133" s="23">
        <v>132</v>
      </c>
      <c r="B133" s="24" t="s">
        <v>27</v>
      </c>
      <c r="C133" s="24" t="s">
        <v>260</v>
      </c>
      <c r="D133" s="23" t="s">
        <v>132</v>
      </c>
      <c r="E133" s="23">
        <v>48</v>
      </c>
      <c r="F133" s="25" t="s">
        <v>128</v>
      </c>
      <c r="G133" s="25" t="s">
        <v>41</v>
      </c>
      <c r="H133" s="25">
        <v>1</v>
      </c>
      <c r="I133" s="23" t="str">
        <f t="shared" si="4"/>
        <v/>
      </c>
      <c r="J133" s="26"/>
      <c r="K133" s="27"/>
    </row>
    <row r="134" spans="1:11" x14ac:dyDescent="0.3">
      <c r="A134" s="23">
        <v>133</v>
      </c>
      <c r="B134" s="24" t="s">
        <v>27</v>
      </c>
      <c r="C134" s="24" t="s">
        <v>261</v>
      </c>
      <c r="D134" s="23" t="s">
        <v>127</v>
      </c>
      <c r="E134" s="23">
        <v>49</v>
      </c>
      <c r="F134" s="25" t="s">
        <v>128</v>
      </c>
      <c r="G134" s="25" t="s">
        <v>41</v>
      </c>
      <c r="H134" s="25">
        <v>1</v>
      </c>
      <c r="I134" s="23" t="str">
        <f t="shared" si="4"/>
        <v/>
      </c>
      <c r="J134" s="26"/>
      <c r="K134" s="27"/>
    </row>
    <row r="135" spans="1:11" x14ac:dyDescent="0.3">
      <c r="A135" s="23">
        <v>134</v>
      </c>
      <c r="B135" s="24" t="s">
        <v>27</v>
      </c>
      <c r="C135" s="24" t="s">
        <v>262</v>
      </c>
      <c r="D135" s="23" t="s">
        <v>132</v>
      </c>
      <c r="E135" s="23">
        <v>49</v>
      </c>
      <c r="F135" s="25" t="s">
        <v>128</v>
      </c>
      <c r="G135" s="25" t="s">
        <v>41</v>
      </c>
      <c r="H135" s="25">
        <v>1</v>
      </c>
      <c r="I135" s="23" t="str">
        <f t="shared" si="4"/>
        <v/>
      </c>
      <c r="J135" s="26"/>
      <c r="K135" s="27"/>
    </row>
    <row r="136" spans="1:11" x14ac:dyDescent="0.3">
      <c r="A136" s="23">
        <v>135</v>
      </c>
      <c r="B136" s="24" t="s">
        <v>27</v>
      </c>
      <c r="C136" s="24" t="s">
        <v>263</v>
      </c>
      <c r="D136" s="23" t="s">
        <v>143</v>
      </c>
      <c r="E136" s="23">
        <v>49</v>
      </c>
      <c r="F136" s="25" t="s">
        <v>128</v>
      </c>
      <c r="G136" s="25" t="s">
        <v>41</v>
      </c>
      <c r="H136" s="25">
        <v>1</v>
      </c>
      <c r="I136" s="23" t="str">
        <f t="shared" si="4"/>
        <v/>
      </c>
      <c r="J136" s="26"/>
      <c r="K136" s="27"/>
    </row>
    <row r="137" spans="1:11" x14ac:dyDescent="0.3">
      <c r="A137" s="23">
        <v>136</v>
      </c>
      <c r="B137" s="24" t="s">
        <v>28</v>
      </c>
      <c r="C137" s="24" t="s">
        <v>264</v>
      </c>
      <c r="D137" s="23" t="s">
        <v>132</v>
      </c>
      <c r="E137" s="23">
        <v>50</v>
      </c>
      <c r="F137" s="25" t="s">
        <v>128</v>
      </c>
      <c r="G137" s="25" t="s">
        <v>41</v>
      </c>
      <c r="H137" s="25">
        <v>1</v>
      </c>
      <c r="I137" s="23" t="str">
        <f t="shared" si="4"/>
        <v/>
      </c>
      <c r="J137" s="26"/>
      <c r="K137" s="27"/>
    </row>
    <row r="138" spans="1:11" x14ac:dyDescent="0.3">
      <c r="A138" s="23">
        <v>137</v>
      </c>
      <c r="B138" s="24" t="s">
        <v>28</v>
      </c>
      <c r="C138" s="24" t="s">
        <v>265</v>
      </c>
      <c r="D138" s="23" t="s">
        <v>132</v>
      </c>
      <c r="E138" s="23">
        <v>50</v>
      </c>
      <c r="F138" s="25" t="s">
        <v>128</v>
      </c>
      <c r="G138" s="25" t="s">
        <v>41</v>
      </c>
      <c r="H138" s="25">
        <v>1</v>
      </c>
      <c r="I138" s="23" t="str">
        <f t="shared" si="4"/>
        <v/>
      </c>
      <c r="J138" s="26"/>
      <c r="K138" s="27"/>
    </row>
    <row r="139" spans="1:11" x14ac:dyDescent="0.3">
      <c r="A139" s="23">
        <v>138</v>
      </c>
      <c r="B139" s="24" t="s">
        <v>28</v>
      </c>
      <c r="C139" s="24" t="s">
        <v>266</v>
      </c>
      <c r="D139" s="23" t="s">
        <v>132</v>
      </c>
      <c r="E139" s="23">
        <v>50</v>
      </c>
      <c r="F139" s="25" t="s">
        <v>128</v>
      </c>
      <c r="G139" s="25" t="s">
        <v>41</v>
      </c>
      <c r="H139" s="25">
        <v>1</v>
      </c>
      <c r="I139" s="23" t="str">
        <f t="shared" si="4"/>
        <v/>
      </c>
      <c r="J139" s="26"/>
      <c r="K139" s="27"/>
    </row>
    <row r="140" spans="1:11" x14ac:dyDescent="0.3">
      <c r="A140" s="23">
        <v>139</v>
      </c>
      <c r="B140" s="24" t="s">
        <v>28</v>
      </c>
      <c r="C140" s="24" t="s">
        <v>267</v>
      </c>
      <c r="D140" s="23" t="s">
        <v>127</v>
      </c>
      <c r="E140" s="23">
        <v>51</v>
      </c>
      <c r="F140" s="25" t="s">
        <v>128</v>
      </c>
      <c r="G140" s="25" t="s">
        <v>41</v>
      </c>
      <c r="H140" s="25">
        <v>1</v>
      </c>
      <c r="I140" s="23" t="str">
        <f t="shared" si="4"/>
        <v/>
      </c>
      <c r="J140" s="26"/>
      <c r="K140" s="27"/>
    </row>
    <row r="141" spans="1:11" x14ac:dyDescent="0.3">
      <c r="A141" s="23">
        <v>140</v>
      </c>
      <c r="B141" s="24" t="s">
        <v>28</v>
      </c>
      <c r="C141" s="24" t="s">
        <v>268</v>
      </c>
      <c r="D141" s="23" t="s">
        <v>127</v>
      </c>
      <c r="E141" s="23">
        <v>51</v>
      </c>
      <c r="F141" s="25" t="s">
        <v>128</v>
      </c>
      <c r="G141" s="25" t="s">
        <v>41</v>
      </c>
      <c r="H141" s="25">
        <v>1</v>
      </c>
      <c r="I141" s="23" t="str">
        <f t="shared" si="4"/>
        <v/>
      </c>
      <c r="J141" s="26"/>
      <c r="K141" s="27"/>
    </row>
    <row r="142" spans="1:11" x14ac:dyDescent="0.3">
      <c r="A142" s="23">
        <v>141</v>
      </c>
      <c r="B142" s="24" t="s">
        <v>28</v>
      </c>
      <c r="C142" s="24" t="s">
        <v>269</v>
      </c>
      <c r="D142" s="23" t="s">
        <v>132</v>
      </c>
      <c r="E142" s="23">
        <v>51</v>
      </c>
      <c r="F142" s="25" t="s">
        <v>128</v>
      </c>
      <c r="G142" s="25" t="s">
        <v>41</v>
      </c>
      <c r="H142" s="25">
        <v>1</v>
      </c>
      <c r="I142" s="23" t="str">
        <f t="shared" si="4"/>
        <v/>
      </c>
      <c r="J142" s="26"/>
      <c r="K142" s="27"/>
    </row>
    <row r="143" spans="1:11" x14ac:dyDescent="0.3">
      <c r="A143" s="23">
        <v>142</v>
      </c>
      <c r="B143" s="24" t="s">
        <v>28</v>
      </c>
      <c r="C143" s="24" t="s">
        <v>270</v>
      </c>
      <c r="D143" s="23" t="s">
        <v>132</v>
      </c>
      <c r="E143" s="23">
        <v>52</v>
      </c>
      <c r="F143" s="25" t="s">
        <v>128</v>
      </c>
      <c r="G143" s="25" t="s">
        <v>41</v>
      </c>
      <c r="H143" s="25">
        <v>1</v>
      </c>
      <c r="I143" s="23" t="str">
        <f t="shared" si="4"/>
        <v/>
      </c>
      <c r="J143" s="26"/>
      <c r="K143" s="27"/>
    </row>
    <row r="144" spans="1:11" x14ac:dyDescent="0.3">
      <c r="A144" s="23">
        <v>143</v>
      </c>
      <c r="B144" s="24" t="s">
        <v>28</v>
      </c>
      <c r="C144" s="24" t="s">
        <v>271</v>
      </c>
      <c r="D144" s="23" t="s">
        <v>132</v>
      </c>
      <c r="E144" s="23">
        <v>52</v>
      </c>
      <c r="F144" s="25" t="s">
        <v>128</v>
      </c>
      <c r="G144" s="25" t="s">
        <v>41</v>
      </c>
      <c r="H144" s="25">
        <v>1</v>
      </c>
      <c r="I144" s="23" t="str">
        <f t="shared" si="4"/>
        <v/>
      </c>
      <c r="J144" s="26"/>
      <c r="K144" s="27"/>
    </row>
    <row r="145" spans="1:11" x14ac:dyDescent="0.3">
      <c r="A145" s="23">
        <v>144</v>
      </c>
      <c r="B145" s="24" t="s">
        <v>29</v>
      </c>
      <c r="C145" s="24" t="s">
        <v>272</v>
      </c>
      <c r="D145" s="23" t="s">
        <v>127</v>
      </c>
      <c r="E145" s="23">
        <v>52</v>
      </c>
      <c r="F145" s="25" t="s">
        <v>128</v>
      </c>
      <c r="G145" s="25" t="s">
        <v>41</v>
      </c>
      <c r="H145" s="25">
        <v>1</v>
      </c>
      <c r="I145" s="23" t="str">
        <f t="shared" si="4"/>
        <v/>
      </c>
      <c r="J145" s="26"/>
      <c r="K145" s="27"/>
    </row>
    <row r="146" spans="1:11" x14ac:dyDescent="0.3">
      <c r="A146" s="23">
        <v>145</v>
      </c>
      <c r="B146" s="24" t="s">
        <v>29</v>
      </c>
      <c r="C146" s="24" t="s">
        <v>273</v>
      </c>
      <c r="D146" s="23" t="s">
        <v>127</v>
      </c>
      <c r="E146" s="23">
        <v>53</v>
      </c>
      <c r="F146" s="25" t="s">
        <v>128</v>
      </c>
      <c r="G146" s="25" t="s">
        <v>41</v>
      </c>
      <c r="H146" s="25">
        <v>1</v>
      </c>
      <c r="I146" s="23" t="str">
        <f t="shared" si="4"/>
        <v/>
      </c>
      <c r="J146" s="26"/>
      <c r="K146" s="27"/>
    </row>
    <row r="147" spans="1:11" x14ac:dyDescent="0.3">
      <c r="A147" s="23">
        <v>146</v>
      </c>
      <c r="B147" s="24" t="s">
        <v>29</v>
      </c>
      <c r="C147" s="24" t="s">
        <v>274</v>
      </c>
      <c r="D147" s="23" t="s">
        <v>127</v>
      </c>
      <c r="E147" s="23">
        <v>53</v>
      </c>
      <c r="F147" s="25" t="s">
        <v>128</v>
      </c>
      <c r="G147" s="25" t="s">
        <v>41</v>
      </c>
      <c r="H147" s="25">
        <v>1</v>
      </c>
      <c r="I147" s="23" t="str">
        <f t="shared" si="4"/>
        <v/>
      </c>
      <c r="J147" s="26"/>
      <c r="K147" s="27"/>
    </row>
    <row r="148" spans="1:11" x14ac:dyDescent="0.3">
      <c r="A148" s="23">
        <v>147</v>
      </c>
      <c r="B148" s="24" t="s">
        <v>29</v>
      </c>
      <c r="C148" s="24" t="s">
        <v>275</v>
      </c>
      <c r="D148" s="23" t="s">
        <v>127</v>
      </c>
      <c r="E148" s="23">
        <v>53</v>
      </c>
      <c r="F148" s="25" t="s">
        <v>128</v>
      </c>
      <c r="G148" s="25" t="s">
        <v>41</v>
      </c>
      <c r="H148" s="25">
        <v>1</v>
      </c>
      <c r="I148" s="23" t="str">
        <f t="shared" si="4"/>
        <v/>
      </c>
      <c r="J148" s="26"/>
      <c r="K148" s="27"/>
    </row>
    <row r="149" spans="1:11" x14ac:dyDescent="0.3">
      <c r="A149" s="23">
        <v>148</v>
      </c>
      <c r="B149" s="24" t="s">
        <v>29</v>
      </c>
      <c r="C149" s="24" t="s">
        <v>276</v>
      </c>
      <c r="D149" s="23" t="s">
        <v>127</v>
      </c>
      <c r="E149" s="23">
        <v>54</v>
      </c>
      <c r="F149" s="25" t="s">
        <v>128</v>
      </c>
      <c r="G149" s="25" t="s">
        <v>41</v>
      </c>
      <c r="H149" s="25">
        <v>1</v>
      </c>
      <c r="I149" s="23" t="str">
        <f t="shared" si="4"/>
        <v/>
      </c>
      <c r="J149" s="26"/>
      <c r="K149" s="27"/>
    </row>
    <row r="150" spans="1:11" x14ac:dyDescent="0.3">
      <c r="A150" s="23">
        <v>149</v>
      </c>
      <c r="B150" s="24" t="s">
        <v>29</v>
      </c>
      <c r="C150" s="24" t="s">
        <v>277</v>
      </c>
      <c r="D150" s="23" t="s">
        <v>132</v>
      </c>
      <c r="E150" s="23">
        <v>54</v>
      </c>
      <c r="F150" s="25" t="s">
        <v>128</v>
      </c>
      <c r="G150" s="25" t="s">
        <v>41</v>
      </c>
      <c r="H150" s="25">
        <v>1</v>
      </c>
      <c r="I150" s="23" t="str">
        <f t="shared" si="4"/>
        <v/>
      </c>
      <c r="J150" s="26"/>
      <c r="K150" s="27"/>
    </row>
    <row r="151" spans="1:11" x14ac:dyDescent="0.3">
      <c r="A151" s="23">
        <v>150</v>
      </c>
      <c r="B151" s="24" t="s">
        <v>29</v>
      </c>
      <c r="C151" s="24" t="s">
        <v>278</v>
      </c>
      <c r="D151" s="23" t="s">
        <v>132</v>
      </c>
      <c r="E151" s="23">
        <v>54</v>
      </c>
      <c r="F151" s="25" t="s">
        <v>128</v>
      </c>
      <c r="G151" s="25" t="s">
        <v>41</v>
      </c>
      <c r="H151" s="25">
        <v>1</v>
      </c>
      <c r="I151" s="23" t="str">
        <f t="shared" si="4"/>
        <v/>
      </c>
      <c r="J151" s="26"/>
      <c r="K151" s="27"/>
    </row>
    <row r="153" spans="1:11" x14ac:dyDescent="0.3">
      <c r="B153" s="9" t="s">
        <v>279</v>
      </c>
    </row>
  </sheetData>
  <autoFilter ref="A1:K151" xr:uid="{00000000-0009-0000-0000-000002000000}"/>
  <conditionalFormatting sqref="F2:F151">
    <cfRule type="cellIs" dxfId="3" priority="2" operator="equal">
      <formula>"Completed"</formula>
    </cfRule>
    <cfRule type="cellIs" dxfId="2" priority="3" operator="equal">
      <formula>"Not Completed"</formula>
    </cfRule>
  </conditionalFormatting>
  <conditionalFormatting sqref="G2:G151">
    <cfRule type="cellIs" dxfId="1" priority="4" operator="equal">
      <formula>"Yes"</formula>
    </cfRule>
  </conditionalFormatting>
  <conditionalFormatting sqref="I2:I151">
    <cfRule type="cellIs" dxfId="0" priority="5" operator="equal">
      <formula>"REVISE"</formula>
    </cfRule>
  </conditionalFormatting>
  <dataValidations count="2">
    <dataValidation type="list" sqref="F2:F151" xr:uid="{00000000-0002-0000-0200-000000000000}">
      <formula1>"Completed,Not Completed"</formula1>
      <formula2>0</formula2>
    </dataValidation>
    <dataValidation type="list" sqref="G2:G151" xr:uid="{00000000-0002-0000-02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8" customWidth="1"/>
    <col min="3" max="4" width="40" customWidth="1"/>
    <col min="5" max="5" width="14" customWidth="1"/>
  </cols>
  <sheetData>
    <row r="1" spans="1:5" ht="28.2" x14ac:dyDescent="0.3">
      <c r="A1" s="28" t="s">
        <v>280</v>
      </c>
      <c r="B1" s="28" t="s">
        <v>281</v>
      </c>
      <c r="C1" s="28" t="s">
        <v>282</v>
      </c>
      <c r="D1" s="28" t="s">
        <v>283</v>
      </c>
      <c r="E1" s="28" t="s">
        <v>284</v>
      </c>
    </row>
    <row r="2" spans="1:5" ht="60" customHeight="1" x14ac:dyDescent="0.3">
      <c r="A2" s="14" t="s">
        <v>285</v>
      </c>
      <c r="B2" s="16"/>
      <c r="C2" s="16"/>
      <c r="D2" s="16"/>
      <c r="E2" s="16"/>
    </row>
    <row r="3" spans="1:5" ht="60" customHeight="1" x14ac:dyDescent="0.3">
      <c r="A3" s="14" t="s">
        <v>286</v>
      </c>
      <c r="B3" s="16"/>
      <c r="C3" s="16"/>
      <c r="D3" s="16"/>
      <c r="E3" s="16"/>
    </row>
    <row r="4" spans="1:5" ht="60" customHeight="1" x14ac:dyDescent="0.3">
      <c r="A4" s="14" t="s">
        <v>287</v>
      </c>
      <c r="B4" s="16"/>
      <c r="C4" s="16"/>
      <c r="D4" s="16"/>
      <c r="E4" s="16"/>
    </row>
    <row r="5" spans="1:5" ht="60" customHeight="1" x14ac:dyDescent="0.3">
      <c r="A5" s="14" t="s">
        <v>288</v>
      </c>
      <c r="B5" s="16"/>
      <c r="C5" s="16"/>
      <c r="D5" s="16"/>
      <c r="E5" s="16"/>
    </row>
    <row r="6" spans="1:5" ht="60" customHeight="1" x14ac:dyDescent="0.3">
      <c r="A6" s="14" t="s">
        <v>289</v>
      </c>
      <c r="B6" s="16"/>
      <c r="C6" s="16"/>
      <c r="D6" s="16"/>
      <c r="E6" s="16"/>
    </row>
    <row r="7" spans="1:5" ht="60" customHeight="1" x14ac:dyDescent="0.3">
      <c r="A7" s="14" t="s">
        <v>290</v>
      </c>
      <c r="B7" s="16"/>
      <c r="C7" s="16"/>
      <c r="D7" s="16"/>
      <c r="E7" s="16"/>
    </row>
    <row r="8" spans="1:5" ht="60" customHeight="1" x14ac:dyDescent="0.3">
      <c r="A8" s="14" t="s">
        <v>291</v>
      </c>
      <c r="B8" s="16"/>
      <c r="C8" s="16"/>
      <c r="D8" s="16"/>
      <c r="E8" s="16"/>
    </row>
    <row r="9" spans="1:5" ht="60" customHeight="1" x14ac:dyDescent="0.3">
      <c r="A9" s="14" t="s">
        <v>292</v>
      </c>
      <c r="B9" s="16"/>
      <c r="C9" s="16"/>
      <c r="D9" s="16"/>
      <c r="E9" s="1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Daily Plan</vt:lpstr>
      <vt:lpstr>Problems</vt:lpstr>
      <vt:lpstr>Weekly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Tilak chowdary</cp:lastModifiedBy>
  <cp:revision>0</cp:revision>
  <dcterms:created xsi:type="dcterms:W3CDTF">2026-10-25T17:50:10Z</dcterms:created>
  <dcterms:modified xsi:type="dcterms:W3CDTF">2026-10-26T15:53:41Z</dcterms:modified>
  <dc:language>en-US</dc:language>
</cp:coreProperties>
</file>